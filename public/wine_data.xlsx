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nh\Desktop\"/>
    </mc:Choice>
  </mc:AlternateContent>
  <xr:revisionPtr revIDLastSave="0" documentId="13_ncr:1_{1F5FD7E1-2429-4F21-811E-1835CAED7363}" xr6:coauthVersionLast="47" xr6:coauthVersionMax="47" xr10:uidLastSave="{00000000-0000-0000-0000-000000000000}"/>
  <bookViews>
    <workbookView xWindow="19095" yWindow="0" windowWidth="19410" windowHeight="20985" activeTab="1" xr2:uid="{88637F26-C29E-4CDD-965C-1306FC6F6FE0}"/>
    <workbookView minimized="1" xWindow="1170" yWindow="1170" windowWidth="21585" windowHeight="12765" xr2:uid="{BD345D93-7A08-47D2-9672-BD2C89479792}"/>
  </bookViews>
  <sheets>
    <sheet name="입출고대장" sheetId="1" r:id="rId1"/>
    <sheet name="와인재고현황" sheetId="2" r:id="rId2"/>
  </sheets>
  <definedNames>
    <definedName name="_xlnm._FilterDatabase" localSheetId="1" hidden="1">와인재고현황!$A$2:$I$336</definedName>
    <definedName name="_xlnm._FilterDatabase" localSheetId="0" hidden="1">입출고대장!$A$2:$I$370</definedName>
    <definedName name="_xlnm.Print_Area" localSheetId="1">와인재고현황!$A$1:$I$345</definedName>
    <definedName name="_xlnm.Print_Titles" localSheetId="1">와인재고현황!$1:$2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  <c r="E3" i="2" l="1" a="1"/>
  <c r="E3" i="2" s="1"/>
  <c r="I195" i="2" a="1"/>
  <c r="I195" i="2" s="1"/>
  <c r="I210" i="2" a="1"/>
  <c r="I210" i="2" s="1"/>
  <c r="I60" i="2" a="1"/>
  <c r="I60" i="2" s="1"/>
  <c r="I11" i="2" a="1"/>
  <c r="I11" i="2" s="1"/>
  <c r="I307" i="2" a="1"/>
  <c r="I307" i="2" s="1"/>
  <c r="I211" i="2" a="1"/>
  <c r="I211" i="2" s="1"/>
  <c r="I131" i="2" a="1"/>
  <c r="I131" i="2" s="1"/>
  <c r="I33" i="2" a="1"/>
  <c r="I33" i="2" s="1"/>
  <c r="I258" i="2" a="1"/>
  <c r="I258" i="2" s="1"/>
  <c r="I178" i="2" a="1"/>
  <c r="I178" i="2" s="1"/>
  <c r="I67" i="2" a="1"/>
  <c r="I67" i="2" s="1"/>
  <c r="I317" i="2" a="1"/>
  <c r="I317" i="2" s="1"/>
  <c r="I269" i="2" a="1"/>
  <c r="I269" i="2" s="1"/>
  <c r="I205" i="2" a="1"/>
  <c r="I205" i="2" s="1"/>
  <c r="I157" i="2" a="1"/>
  <c r="I157" i="2" s="1"/>
  <c r="I93" i="2" a="1"/>
  <c r="I93" i="2" s="1"/>
  <c r="I54" i="2" a="1"/>
  <c r="I54" i="2" s="1"/>
  <c r="I38" i="2" a="1"/>
  <c r="I38" i="2" s="1"/>
  <c r="I332" i="2" a="1"/>
  <c r="I332" i="2" s="1"/>
  <c r="I236" i="2" a="1"/>
  <c r="I236" i="2" s="1"/>
  <c r="I172" i="2" a="1"/>
  <c r="I172" i="2" s="1"/>
  <c r="I92" i="2" a="1"/>
  <c r="I92" i="2" s="1"/>
  <c r="I283" i="2" a="1"/>
  <c r="I283" i="2" s="1"/>
  <c r="I187" i="2" a="1"/>
  <c r="I187" i="2" s="1"/>
  <c r="I329" i="2" a="1"/>
  <c r="I329" i="2" s="1"/>
  <c r="I265" i="2" a="1"/>
  <c r="I265" i="2" s="1"/>
  <c r="I233" i="2" a="1"/>
  <c r="I233" i="2" s="1"/>
  <c r="I153" i="2" a="1"/>
  <c r="I153" i="2" s="1"/>
  <c r="I326" i="2" a="1"/>
  <c r="I326" i="2" s="1"/>
  <c r="I310" i="2" a="1"/>
  <c r="I310" i="2" s="1"/>
  <c r="I294" i="2" a="1"/>
  <c r="I294" i="2" s="1"/>
  <c r="I278" i="2" a="1"/>
  <c r="I278" i="2" s="1"/>
  <c r="I262" i="2" a="1"/>
  <c r="I262" i="2" s="1"/>
  <c r="I246" i="2" a="1"/>
  <c r="I246" i="2" s="1"/>
  <c r="I230" i="2" a="1"/>
  <c r="I230" i="2" s="1"/>
  <c r="I214" i="2" a="1"/>
  <c r="I214" i="2" s="1"/>
  <c r="I198" i="2" a="1"/>
  <c r="I198" i="2" s="1"/>
  <c r="I182" i="2" a="1"/>
  <c r="I182" i="2" s="1"/>
  <c r="I166" i="2" a="1"/>
  <c r="I166" i="2" s="1"/>
  <c r="I150" i="2" a="1"/>
  <c r="I150" i="2" s="1"/>
  <c r="I134" i="2" a="1"/>
  <c r="I134" i="2" s="1"/>
  <c r="I118" i="2" a="1"/>
  <c r="I118" i="2" s="1"/>
  <c r="I102" i="2" a="1"/>
  <c r="I102" i="2" s="1"/>
  <c r="I86" i="2" a="1"/>
  <c r="I86" i="2" s="1"/>
  <c r="I70" i="2" a="1"/>
  <c r="I70" i="2" s="1"/>
  <c r="I59" i="2" a="1"/>
  <c r="I59" i="2" s="1"/>
  <c r="I259" i="2" a="1"/>
  <c r="I259" i="2" s="1"/>
  <c r="I179" i="2" a="1"/>
  <c r="I179" i="2" s="1"/>
  <c r="I99" i="2" a="1"/>
  <c r="I99" i="2" s="1"/>
  <c r="I41" i="2" a="1"/>
  <c r="I41" i="2" s="1"/>
  <c r="I274" i="2" a="1"/>
  <c r="I274" i="2" s="1"/>
  <c r="I194" i="2" a="1"/>
  <c r="I194" i="2" s="1"/>
  <c r="I114" i="2" a="1"/>
  <c r="I114" i="2" s="1"/>
  <c r="I321" i="2" a="1"/>
  <c r="I321" i="2" s="1"/>
  <c r="I285" i="2" a="1"/>
  <c r="I285" i="2" s="1"/>
  <c r="I221" i="2" a="1"/>
  <c r="I221" i="2" s="1"/>
  <c r="I141" i="2" a="1"/>
  <c r="I141" i="2" s="1"/>
  <c r="I77" i="2" a="1"/>
  <c r="I77" i="2" s="1"/>
  <c r="I22" i="2" a="1"/>
  <c r="I22" i="2" s="1"/>
  <c r="I284" i="2" a="1"/>
  <c r="I284" i="2" s="1"/>
  <c r="I204" i="2" a="1"/>
  <c r="I204" i="2" s="1"/>
  <c r="I140" i="2" a="1"/>
  <c r="I140" i="2" s="1"/>
  <c r="I124" i="2" a="1"/>
  <c r="I124" i="2" s="1"/>
  <c r="I331" i="2" a="1"/>
  <c r="I331" i="2" s="1"/>
  <c r="I267" i="2" a="1"/>
  <c r="I267" i="2" s="1"/>
  <c r="I171" i="2" a="1"/>
  <c r="I171" i="2" s="1"/>
  <c r="I313" i="2" a="1"/>
  <c r="I313" i="2" s="1"/>
  <c r="I281" i="2" a="1"/>
  <c r="I281" i="2" s="1"/>
  <c r="I217" i="2" a="1"/>
  <c r="I217" i="2" s="1"/>
  <c r="I169" i="2" a="1"/>
  <c r="I169" i="2" s="1"/>
  <c r="I121" i="2" a="1"/>
  <c r="I121" i="2" s="1"/>
  <c r="I73" i="2" a="1"/>
  <c r="I73" i="2" s="1"/>
  <c r="I44" i="2" a="1"/>
  <c r="I44" i="2" s="1"/>
  <c r="I20" i="2" a="1"/>
  <c r="I20" i="2" s="1"/>
  <c r="I328" i="2" a="1"/>
  <c r="I328" i="2" s="1"/>
  <c r="I280" i="2" a="1"/>
  <c r="I280" i="2" s="1"/>
  <c r="I248" i="2" a="1"/>
  <c r="I248" i="2" s="1"/>
  <c r="I216" i="2" a="1"/>
  <c r="I216" i="2" s="1"/>
  <c r="I168" i="2" a="1"/>
  <c r="I168" i="2" s="1"/>
  <c r="I136" i="2" a="1"/>
  <c r="I136" i="2" s="1"/>
  <c r="I104" i="2" a="1"/>
  <c r="I104" i="2" s="1"/>
  <c r="I72" i="2" a="1"/>
  <c r="I72" i="2" s="1"/>
  <c r="I295" i="2" a="1"/>
  <c r="I295" i="2" s="1"/>
  <c r="I263" i="2" a="1"/>
  <c r="I263" i="2" s="1"/>
  <c r="I215" i="2" a="1"/>
  <c r="I215" i="2" s="1"/>
  <c r="I119" i="2" a="1"/>
  <c r="I119" i="2" s="1"/>
  <c r="I325" i="2" a="1"/>
  <c r="I325" i="2" s="1"/>
  <c r="I309" i="2" a="1"/>
  <c r="I309" i="2" s="1"/>
  <c r="I293" i="2" a="1"/>
  <c r="I293" i="2" s="1"/>
  <c r="I277" i="2" a="1"/>
  <c r="I277" i="2" s="1"/>
  <c r="I261" i="2" a="1"/>
  <c r="I261" i="2" s="1"/>
  <c r="I245" i="2" a="1"/>
  <c r="I245" i="2" s="1"/>
  <c r="I229" i="2" a="1"/>
  <c r="I229" i="2" s="1"/>
  <c r="I213" i="2" a="1"/>
  <c r="I213" i="2" s="1"/>
  <c r="I197" i="2" a="1"/>
  <c r="I197" i="2" s="1"/>
  <c r="I181" i="2" a="1"/>
  <c r="I181" i="2" s="1"/>
  <c r="I165" i="2" a="1"/>
  <c r="I165" i="2" s="1"/>
  <c r="I149" i="2" a="1"/>
  <c r="I149" i="2" s="1"/>
  <c r="I133" i="2" a="1"/>
  <c r="I133" i="2" s="1"/>
  <c r="I117" i="2" a="1"/>
  <c r="I117" i="2" s="1"/>
  <c r="I101" i="2" a="1"/>
  <c r="I101" i="2" s="1"/>
  <c r="I85" i="2" a="1"/>
  <c r="I85" i="2" s="1"/>
  <c r="I50" i="2" a="1"/>
  <c r="I50" i="2" s="1"/>
  <c r="I42" i="2" a="1"/>
  <c r="I42" i="2" s="1"/>
  <c r="I34" i="2" a="1"/>
  <c r="I34" i="2" s="1"/>
  <c r="I26" i="2" a="1"/>
  <c r="I26" i="2" s="1"/>
  <c r="I18" i="2" a="1"/>
  <c r="I18" i="2" s="1"/>
  <c r="I10" i="2" a="1"/>
  <c r="I10" i="2" s="1"/>
  <c r="I243" i="2" a="1"/>
  <c r="I243" i="2" s="1"/>
  <c r="I147" i="2" a="1"/>
  <c r="I147" i="2" s="1"/>
  <c r="I83" i="2" a="1"/>
  <c r="I83" i="2" s="1"/>
  <c r="I17" i="2" a="1"/>
  <c r="I17" i="2" s="1"/>
  <c r="I306" i="2" a="1"/>
  <c r="I306" i="2" s="1"/>
  <c r="I226" i="2" a="1"/>
  <c r="I226" i="2" s="1"/>
  <c r="I98" i="2" a="1"/>
  <c r="I98" i="2" s="1"/>
  <c r="I289" i="2" a="1"/>
  <c r="I289" i="2" s="1"/>
  <c r="I333" i="2" a="1"/>
  <c r="I333" i="2" s="1"/>
  <c r="I253" i="2" a="1"/>
  <c r="I253" i="2" s="1"/>
  <c r="I189" i="2" a="1"/>
  <c r="I189" i="2" s="1"/>
  <c r="I125" i="2" a="1"/>
  <c r="I125" i="2" s="1"/>
  <c r="I63" i="2" a="1"/>
  <c r="I63" i="2" s="1"/>
  <c r="I14" i="2" a="1"/>
  <c r="I14" i="2" s="1"/>
  <c r="I300" i="2" a="1"/>
  <c r="I300" i="2" s="1"/>
  <c r="I268" i="2" a="1"/>
  <c r="I268" i="2" s="1"/>
  <c r="I220" i="2" a="1"/>
  <c r="I220" i="2" s="1"/>
  <c r="I156" i="2" a="1"/>
  <c r="I156" i="2" s="1"/>
  <c r="I76" i="2" a="1"/>
  <c r="I76" i="2" s="1"/>
  <c r="I299" i="2" a="1"/>
  <c r="I299" i="2" s="1"/>
  <c r="I235" i="2" a="1"/>
  <c r="I235" i="2" s="1"/>
  <c r="I155" i="2" a="1"/>
  <c r="I155" i="2" s="1"/>
  <c r="I297" i="2" a="1"/>
  <c r="I297" i="2" s="1"/>
  <c r="I249" i="2" a="1"/>
  <c r="I249" i="2" s="1"/>
  <c r="I201" i="2" a="1"/>
  <c r="I201" i="2" s="1"/>
  <c r="I185" i="2" a="1"/>
  <c r="I185" i="2" s="1"/>
  <c r="I137" i="2" a="1"/>
  <c r="I137" i="2" s="1"/>
  <c r="I105" i="2" a="1"/>
  <c r="I105" i="2" s="1"/>
  <c r="I89" i="2" a="1"/>
  <c r="I89" i="2" s="1"/>
  <c r="I52" i="2" a="1"/>
  <c r="I52" i="2" s="1"/>
  <c r="I36" i="2" a="1"/>
  <c r="I36" i="2" s="1"/>
  <c r="I28" i="2" a="1"/>
  <c r="I28" i="2" s="1"/>
  <c r="I12" i="2" a="1"/>
  <c r="I12" i="2" s="1"/>
  <c r="I312" i="2" a="1"/>
  <c r="I312" i="2" s="1"/>
  <c r="I296" i="2" a="1"/>
  <c r="I296" i="2" s="1"/>
  <c r="I264" i="2" a="1"/>
  <c r="I264" i="2" s="1"/>
  <c r="I232" i="2" a="1"/>
  <c r="I232" i="2" s="1"/>
  <c r="I200" i="2" a="1"/>
  <c r="I200" i="2" s="1"/>
  <c r="I184" i="2" a="1"/>
  <c r="I184" i="2" s="1"/>
  <c r="I152" i="2" a="1"/>
  <c r="I152" i="2" s="1"/>
  <c r="I120" i="2" a="1"/>
  <c r="I120" i="2" s="1"/>
  <c r="I88" i="2" a="1"/>
  <c r="I88" i="2" s="1"/>
  <c r="I327" i="2" a="1"/>
  <c r="I327" i="2" s="1"/>
  <c r="I311" i="2" a="1"/>
  <c r="I311" i="2" s="1"/>
  <c r="I279" i="2" a="1"/>
  <c r="I279" i="2" s="1"/>
  <c r="I247" i="2" a="1"/>
  <c r="I247" i="2" s="1"/>
  <c r="I231" i="2" a="1"/>
  <c r="I231" i="2" s="1"/>
  <c r="I199" i="2" a="1"/>
  <c r="I199" i="2" s="1"/>
  <c r="I183" i="2" a="1"/>
  <c r="I183" i="2" s="1"/>
  <c r="I167" i="2" a="1"/>
  <c r="I167" i="2" s="1"/>
  <c r="I151" i="2" a="1"/>
  <c r="I151" i="2" s="1"/>
  <c r="I135" i="2" a="1"/>
  <c r="I135" i="2" s="1"/>
  <c r="I103" i="2" a="1"/>
  <c r="I103" i="2" s="1"/>
  <c r="I87" i="2" a="1"/>
  <c r="I87" i="2" s="1"/>
  <c r="I71" i="2" a="1"/>
  <c r="I71" i="2" s="1"/>
  <c r="I51" i="2" a="1"/>
  <c r="I51" i="2" s="1"/>
  <c r="I43" i="2" a="1"/>
  <c r="I43" i="2" s="1"/>
  <c r="I35" i="2" a="1"/>
  <c r="I35" i="2" s="1"/>
  <c r="I27" i="2" a="1"/>
  <c r="I27" i="2" s="1"/>
  <c r="I19" i="2" a="1"/>
  <c r="I19" i="2" s="1"/>
  <c r="I324" i="2" a="1"/>
  <c r="I324" i="2" s="1"/>
  <c r="I308" i="2" a="1"/>
  <c r="I308" i="2" s="1"/>
  <c r="I292" i="2" a="1"/>
  <c r="I292" i="2" s="1"/>
  <c r="I276" i="2" a="1"/>
  <c r="I276" i="2" s="1"/>
  <c r="I260" i="2" a="1"/>
  <c r="I260" i="2" s="1"/>
  <c r="I244" i="2" a="1"/>
  <c r="I244" i="2" s="1"/>
  <c r="I228" i="2" a="1"/>
  <c r="I228" i="2" s="1"/>
  <c r="I212" i="2" a="1"/>
  <c r="I212" i="2" s="1"/>
  <c r="I196" i="2" a="1"/>
  <c r="I196" i="2" s="1"/>
  <c r="I180" i="2" a="1"/>
  <c r="I180" i="2" s="1"/>
  <c r="I164" i="2" a="1"/>
  <c r="I164" i="2" s="1"/>
  <c r="I148" i="2" a="1"/>
  <c r="I148" i="2" s="1"/>
  <c r="I132" i="2" a="1"/>
  <c r="I132" i="2" s="1"/>
  <c r="I116" i="2" a="1"/>
  <c r="I116" i="2" s="1"/>
  <c r="I100" i="2" a="1"/>
  <c r="I100" i="2" s="1"/>
  <c r="I84" i="2" a="1"/>
  <c r="I84" i="2" s="1"/>
  <c r="I69" i="2" a="1"/>
  <c r="I69" i="2" s="1"/>
  <c r="I58" i="2" a="1"/>
  <c r="I58" i="2" s="1"/>
  <c r="I9" i="2" a="1"/>
  <c r="I9" i="2" s="1"/>
  <c r="I57" i="2" a="1"/>
  <c r="I57" i="2" s="1"/>
  <c r="I8" i="2" a="1"/>
  <c r="I8" i="2" s="1"/>
  <c r="I320" i="2" a="1"/>
  <c r="I320" i="2" s="1"/>
  <c r="I304" i="2" a="1"/>
  <c r="I304" i="2" s="1"/>
  <c r="I288" i="2" a="1"/>
  <c r="I288" i="2" s="1"/>
  <c r="I272" i="2" a="1"/>
  <c r="I272" i="2" s="1"/>
  <c r="I256" i="2" a="1"/>
  <c r="I256" i="2" s="1"/>
  <c r="I240" i="2" a="1"/>
  <c r="I240" i="2" s="1"/>
  <c r="I224" i="2" a="1"/>
  <c r="I224" i="2" s="1"/>
  <c r="I208" i="2" a="1"/>
  <c r="I208" i="2" s="1"/>
  <c r="I192" i="2" a="1"/>
  <c r="I192" i="2" s="1"/>
  <c r="I176" i="2" a="1"/>
  <c r="I176" i="2" s="1"/>
  <c r="I160" i="2" a="1"/>
  <c r="I160" i="2" s="1"/>
  <c r="I144" i="2" a="1"/>
  <c r="I144" i="2" s="1"/>
  <c r="I128" i="2" a="1"/>
  <c r="I128" i="2" s="1"/>
  <c r="I112" i="2" a="1"/>
  <c r="I112" i="2" s="1"/>
  <c r="I96" i="2" a="1"/>
  <c r="I96" i="2" s="1"/>
  <c r="I80" i="2" a="1"/>
  <c r="I80" i="2" s="1"/>
  <c r="I7" i="2" a="1"/>
  <c r="I7" i="2" s="1"/>
  <c r="I275" i="2" a="1"/>
  <c r="I275" i="2" s="1"/>
  <c r="I49" i="2" a="1"/>
  <c r="I49" i="2" s="1"/>
  <c r="I290" i="2" a="1"/>
  <c r="I290" i="2" s="1"/>
  <c r="I130" i="2" a="1"/>
  <c r="I130" i="2" s="1"/>
  <c r="I273" i="2" a="1"/>
  <c r="I273" i="2" s="1"/>
  <c r="I257" i="2" a="1"/>
  <c r="I257" i="2" s="1"/>
  <c r="I241" i="2" a="1"/>
  <c r="I241" i="2" s="1"/>
  <c r="I225" i="2" a="1"/>
  <c r="I225" i="2" s="1"/>
  <c r="I209" i="2" a="1"/>
  <c r="I209" i="2" s="1"/>
  <c r="I193" i="2" a="1"/>
  <c r="I193" i="2" s="1"/>
  <c r="I177" i="2" a="1"/>
  <c r="I177" i="2" s="1"/>
  <c r="I161" i="2" a="1"/>
  <c r="I161" i="2" s="1"/>
  <c r="I145" i="2" a="1"/>
  <c r="I145" i="2" s="1"/>
  <c r="I129" i="2" a="1"/>
  <c r="I129" i="2" s="1"/>
  <c r="I113" i="2" a="1"/>
  <c r="I113" i="2" s="1"/>
  <c r="I97" i="2" a="1"/>
  <c r="I97" i="2" s="1"/>
  <c r="I81" i="2" a="1"/>
  <c r="I81" i="2" s="1"/>
  <c r="I66" i="2" a="1"/>
  <c r="I66" i="2" s="1"/>
  <c r="I56" i="2" a="1"/>
  <c r="I56" i="2" s="1"/>
  <c r="I48" i="2" a="1"/>
  <c r="I48" i="2" s="1"/>
  <c r="I40" i="2" a="1"/>
  <c r="I40" i="2" s="1"/>
  <c r="I32" i="2" a="1"/>
  <c r="I32" i="2" s="1"/>
  <c r="I24" i="2" a="1"/>
  <c r="I24" i="2" s="1"/>
  <c r="I16" i="2" a="1"/>
  <c r="I16" i="2" s="1"/>
  <c r="I3" i="2" a="1"/>
  <c r="I3" i="2" s="1"/>
  <c r="I319" i="2" a="1"/>
  <c r="I319" i="2" s="1"/>
  <c r="I303" i="2" a="1"/>
  <c r="I303" i="2" s="1"/>
  <c r="I287" i="2" a="1"/>
  <c r="I287" i="2" s="1"/>
  <c r="I271" i="2" a="1"/>
  <c r="I271" i="2" s="1"/>
  <c r="I255" i="2" a="1"/>
  <c r="I255" i="2" s="1"/>
  <c r="I239" i="2" a="1"/>
  <c r="I239" i="2" s="1"/>
  <c r="I223" i="2" a="1"/>
  <c r="I223" i="2" s="1"/>
  <c r="I207" i="2" a="1"/>
  <c r="I207" i="2" s="1"/>
  <c r="I191" i="2" a="1"/>
  <c r="I191" i="2" s="1"/>
  <c r="I175" i="2" a="1"/>
  <c r="I175" i="2" s="1"/>
  <c r="I159" i="2" a="1"/>
  <c r="I159" i="2" s="1"/>
  <c r="I143" i="2" a="1"/>
  <c r="I143" i="2" s="1"/>
  <c r="I127" i="2" a="1"/>
  <c r="I127" i="2" s="1"/>
  <c r="I111" i="2" a="1"/>
  <c r="I111" i="2" s="1"/>
  <c r="I95" i="2" a="1"/>
  <c r="I95" i="2" s="1"/>
  <c r="I79" i="2" a="1"/>
  <c r="I79" i="2" s="1"/>
  <c r="I65" i="2" a="1"/>
  <c r="I65" i="2" s="1"/>
  <c r="I55" i="2" a="1"/>
  <c r="I55" i="2" s="1"/>
  <c r="I47" i="2" a="1"/>
  <c r="I47" i="2" s="1"/>
  <c r="I39" i="2" a="1"/>
  <c r="I39" i="2" s="1"/>
  <c r="I31" i="2" a="1"/>
  <c r="I31" i="2" s="1"/>
  <c r="I23" i="2" a="1"/>
  <c r="I23" i="2" s="1"/>
  <c r="I15" i="2" a="1"/>
  <c r="I15" i="2" s="1"/>
  <c r="I334" i="2" a="1"/>
  <c r="I334" i="2" s="1"/>
  <c r="I318" i="2" a="1"/>
  <c r="I318" i="2" s="1"/>
  <c r="I302" i="2" a="1"/>
  <c r="I302" i="2" s="1"/>
  <c r="I286" i="2" a="1"/>
  <c r="I286" i="2" s="1"/>
  <c r="I270" i="2" a="1"/>
  <c r="I270" i="2" s="1"/>
  <c r="I254" i="2" a="1"/>
  <c r="I254" i="2" s="1"/>
  <c r="I238" i="2" a="1"/>
  <c r="I238" i="2" s="1"/>
  <c r="I222" i="2" a="1"/>
  <c r="I222" i="2" s="1"/>
  <c r="I206" i="2" a="1"/>
  <c r="I206" i="2" s="1"/>
  <c r="I190" i="2" a="1"/>
  <c r="I190" i="2" s="1"/>
  <c r="I174" i="2" a="1"/>
  <c r="I174" i="2" s="1"/>
  <c r="I158" i="2" a="1"/>
  <c r="I158" i="2" s="1"/>
  <c r="I142" i="2" a="1"/>
  <c r="I142" i="2" s="1"/>
  <c r="I126" i="2" a="1"/>
  <c r="I126" i="2" s="1"/>
  <c r="I110" i="2" a="1"/>
  <c r="I110" i="2" s="1"/>
  <c r="I94" i="2" a="1"/>
  <c r="I94" i="2" s="1"/>
  <c r="I78" i="2" a="1"/>
  <c r="I78" i="2" s="1"/>
  <c r="I64" i="2" a="1"/>
  <c r="I64" i="2" s="1"/>
  <c r="I6" i="2" a="1"/>
  <c r="I6" i="2" s="1"/>
  <c r="I62" i="2" a="1"/>
  <c r="I62" i="2" s="1"/>
  <c r="I5" i="2" a="1"/>
  <c r="I5" i="2" s="1"/>
  <c r="I323" i="2" a="1"/>
  <c r="I323" i="2" s="1"/>
  <c r="I227" i="2" a="1"/>
  <c r="I227" i="2" s="1"/>
  <c r="I163" i="2" a="1"/>
  <c r="I163" i="2" s="1"/>
  <c r="I115" i="2" a="1"/>
  <c r="I115" i="2" s="1"/>
  <c r="I25" i="2" a="1"/>
  <c r="I25" i="2" s="1"/>
  <c r="I322" i="2" a="1"/>
  <c r="I322" i="2" s="1"/>
  <c r="I242" i="2" a="1"/>
  <c r="I242" i="2" s="1"/>
  <c r="I146" i="2" a="1"/>
  <c r="I146" i="2" s="1"/>
  <c r="I82" i="2" a="1"/>
  <c r="I82" i="2" s="1"/>
  <c r="I305" i="2" a="1"/>
  <c r="I305" i="2" s="1"/>
  <c r="I301" i="2" a="1"/>
  <c r="I301" i="2" s="1"/>
  <c r="I237" i="2" a="1"/>
  <c r="I237" i="2" s="1"/>
  <c r="I173" i="2" a="1"/>
  <c r="I173" i="2" s="1"/>
  <c r="I109" i="2" a="1"/>
  <c r="I109" i="2" s="1"/>
  <c r="I46" i="2" a="1"/>
  <c r="I46" i="2" s="1"/>
  <c r="I30" i="2" a="1"/>
  <c r="I30" i="2" s="1"/>
  <c r="I316" i="2" a="1"/>
  <c r="I316" i="2" s="1"/>
  <c r="I252" i="2" a="1"/>
  <c r="I252" i="2" s="1"/>
  <c r="I188" i="2" a="1"/>
  <c r="I188" i="2" s="1"/>
  <c r="I108" i="2" a="1"/>
  <c r="I108" i="2" s="1"/>
  <c r="I315" i="2" a="1"/>
  <c r="I315" i="2" s="1"/>
  <c r="I251" i="2" a="1"/>
  <c r="I251" i="2" s="1"/>
  <c r="I219" i="2" a="1"/>
  <c r="I219" i="2" s="1"/>
  <c r="I203" i="2" a="1"/>
  <c r="I203" i="2" s="1"/>
  <c r="I139" i="2" a="1"/>
  <c r="I139" i="2" s="1"/>
  <c r="I123" i="2" a="1"/>
  <c r="I123" i="2" s="1"/>
  <c r="I107" i="2" a="1"/>
  <c r="I107" i="2" s="1"/>
  <c r="I91" i="2" a="1"/>
  <c r="I91" i="2" s="1"/>
  <c r="I75" i="2" a="1"/>
  <c r="I75" i="2" s="1"/>
  <c r="I53" i="2" a="1"/>
  <c r="I53" i="2" s="1"/>
  <c r="I45" i="2" a="1"/>
  <c r="I45" i="2" s="1"/>
  <c r="I37" i="2" a="1"/>
  <c r="I37" i="2" s="1"/>
  <c r="I29" i="2" a="1"/>
  <c r="I29" i="2" s="1"/>
  <c r="I21" i="2" a="1"/>
  <c r="I21" i="2" s="1"/>
  <c r="I13" i="2" a="1"/>
  <c r="I13" i="2" s="1"/>
  <c r="I330" i="2" a="1"/>
  <c r="I330" i="2" s="1"/>
  <c r="I314" i="2" a="1"/>
  <c r="I314" i="2" s="1"/>
  <c r="I298" i="2" a="1"/>
  <c r="I298" i="2" s="1"/>
  <c r="I282" i="2" a="1"/>
  <c r="I282" i="2" s="1"/>
  <c r="I266" i="2" a="1"/>
  <c r="I266" i="2" s="1"/>
  <c r="I250" i="2" a="1"/>
  <c r="I250" i="2" s="1"/>
  <c r="I234" i="2" a="1"/>
  <c r="I234" i="2" s="1"/>
  <c r="I218" i="2" a="1"/>
  <c r="I218" i="2" s="1"/>
  <c r="I202" i="2" a="1"/>
  <c r="I202" i="2" s="1"/>
  <c r="I186" i="2" a="1"/>
  <c r="I186" i="2" s="1"/>
  <c r="I170" i="2" a="1"/>
  <c r="I170" i="2" s="1"/>
  <c r="I154" i="2" a="1"/>
  <c r="I154" i="2" s="1"/>
  <c r="I138" i="2" a="1"/>
  <c r="I138" i="2" s="1"/>
  <c r="I122" i="2" a="1"/>
  <c r="I122" i="2" s="1"/>
  <c r="I106" i="2" a="1"/>
  <c r="I106" i="2" s="1"/>
  <c r="I90" i="2" a="1"/>
  <c r="I90" i="2" s="1"/>
  <c r="I74" i="2" a="1"/>
  <c r="I74" i="2" s="1"/>
  <c r="I61" i="2" a="1"/>
  <c r="I61" i="2" s="1"/>
  <c r="I291" i="2" a="1"/>
  <c r="I291" i="2" s="1"/>
  <c r="I68" i="2" a="1"/>
  <c r="I68" i="2" s="1"/>
  <c r="I162" i="2" a="1"/>
  <c r="I162" i="2" s="1"/>
  <c r="I4" i="2" a="1"/>
  <c r="I4" i="2" s="1"/>
  <c r="F3" i="2" a="1"/>
  <c r="F3" i="2" s="1"/>
  <c r="G3" i="2" l="1" a="1"/>
  <c r="G3" i="2" l="1"/>
  <c r="H3" i="2" l="1" a="1"/>
  <c r="H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<sst xmlns="http://schemas.openxmlformats.org/spreadsheetml/2006/main" count="2130" uniqueCount="380">
  <si>
    <t>날짜</t>
    <phoneticPr fontId="1" type="noConversion"/>
  </si>
  <si>
    <t>구분</t>
    <phoneticPr fontId="1" type="noConversion"/>
  </si>
  <si>
    <t>와인명</t>
    <phoneticPr fontId="1" type="noConversion"/>
  </si>
  <si>
    <t>빈티지</t>
    <phoneticPr fontId="1" type="noConversion"/>
  </si>
  <si>
    <t>수량</t>
    <phoneticPr fontId="1" type="noConversion"/>
  </si>
  <si>
    <t>보관위치</t>
    <phoneticPr fontId="1" type="noConversion"/>
  </si>
  <si>
    <t>사용처/인수자</t>
    <phoneticPr fontId="1" type="noConversion"/>
  </si>
  <si>
    <t>비고</t>
    <phoneticPr fontId="1" type="noConversion"/>
  </si>
  <si>
    <t>총 입고량</t>
    <phoneticPr fontId="1" type="noConversion"/>
  </si>
  <si>
    <t>총 출고량</t>
    <phoneticPr fontId="1" type="noConversion"/>
  </si>
  <si>
    <t>현재고</t>
    <phoneticPr fontId="1" type="noConversion"/>
  </si>
  <si>
    <t>상태</t>
    <phoneticPr fontId="1" type="noConversion"/>
  </si>
  <si>
    <t>입고</t>
  </si>
  <si>
    <t>입고</t>
    <phoneticPr fontId="1" type="noConversion"/>
  </si>
  <si>
    <t>뀌베 마르게릿</t>
    <phoneticPr fontId="1" type="noConversion"/>
  </si>
  <si>
    <t>중앙랙</t>
    <phoneticPr fontId="1" type="noConversion"/>
  </si>
  <si>
    <t>최준호</t>
    <phoneticPr fontId="1" type="noConversion"/>
  </si>
  <si>
    <t>바슐레 모노 퓔리니 몽라셰 레 폴라티에르</t>
  </si>
  <si>
    <t>출고</t>
  </si>
  <si>
    <t>샤또 팔머</t>
  </si>
  <si>
    <t>하이츠 마르따스 빈야드 카버네 소비뇽</t>
  </si>
  <si>
    <t>원산지</t>
    <phoneticPr fontId="1" type="noConversion"/>
  </si>
  <si>
    <t>프랑스</t>
  </si>
  <si>
    <t>프랑스</t>
    <phoneticPr fontId="1" type="noConversion"/>
  </si>
  <si>
    <t>꼬뜨 드 뉘 빌라쥬 오 풀크</t>
  </si>
  <si>
    <t>쟝 마크 브와이요 풀리니 몽라세 프리미에 크뤼 삼 카네</t>
  </si>
  <si>
    <t>아나코타 몬타나 까베르네 쇼비뇽</t>
  </si>
  <si>
    <t>막사네 뀌베 살리(블랑)</t>
  </si>
  <si>
    <t>샤또 린치 바쥐</t>
  </si>
  <si>
    <t>세냐</t>
  </si>
  <si>
    <t>상볼 뮈지니 1등급 '레 사름'</t>
  </si>
  <si>
    <t>삔띠아</t>
  </si>
  <si>
    <t>나파벨리 까베르네 쇼비뇽 리져브</t>
  </si>
  <si>
    <t>루이 라투르 코통 샤를마뉴 그랑크뤼</t>
  </si>
  <si>
    <t>샤또 베이슈벨</t>
  </si>
  <si>
    <t>도메인 듀 꾸벙 샹볼 뮈지니 40 우브레</t>
  </si>
  <si>
    <t>크리스탈 브뤼트</t>
  </si>
  <si>
    <t>볼랭저 B16</t>
  </si>
  <si>
    <t>아 베르제르,38-40 블랑 드 블랑 그랑 크뤼</t>
  </si>
  <si>
    <t>미국</t>
  </si>
  <si>
    <t>미국</t>
    <phoneticPr fontId="1" type="noConversion"/>
  </si>
  <si>
    <t>칠레</t>
  </si>
  <si>
    <t>스페인</t>
  </si>
  <si>
    <t>이탈리아</t>
  </si>
  <si>
    <t>입출고대장</t>
    <phoneticPr fontId="1" type="noConversion"/>
  </si>
  <si>
    <t>로버트 몬다비,까베르네 소비뇽 리저브</t>
  </si>
  <si>
    <t>1번랙</t>
  </si>
  <si>
    <t>초기재고</t>
  </si>
  <si>
    <t>호주</t>
  </si>
  <si>
    <t>토브렉, 런릭</t>
  </si>
  <si>
    <t>토브렉, 레어드 1500ml</t>
  </si>
  <si>
    <t>매그넘</t>
  </si>
  <si>
    <t>로버트 몬다비,까베르네 소비뇽 버티칼 세트</t>
  </si>
  <si>
    <t>NV</t>
  </si>
  <si>
    <t>2번랙</t>
  </si>
  <si>
    <t>세트상품</t>
  </si>
  <si>
    <t>페블레, 꼬르똥 샤를마뉴 그랑 크뤼</t>
  </si>
  <si>
    <t>페블레,비엥브뉘 바타르 몽라쉐 그랑 크뤼</t>
  </si>
  <si>
    <t>3번랙</t>
  </si>
  <si>
    <t>검정 나무 케이스 6병</t>
  </si>
  <si>
    <t>페블레,바타르 몽라쉐 그랑 크뤼</t>
  </si>
  <si>
    <t>페블레, 샹베르땡 끌로 드 베즈 우브레 로딘 그랑크뤼</t>
  </si>
  <si>
    <t>루체 브루넬로 디 몬탈치노 1500ml</t>
  </si>
  <si>
    <t>4번랙</t>
  </si>
  <si>
    <t>루체 브루넬로 디 몬탈치노 3000ml</t>
  </si>
  <si>
    <t>더블매그넘</t>
  </si>
  <si>
    <t>프레스코발디,카스텔지오콘도 리제르바 1500ml</t>
  </si>
  <si>
    <t>프레스코발디,카스텔지오콘도 리제르바 3000ml</t>
  </si>
  <si>
    <t>아르망드 브리냑 로제 750ml</t>
  </si>
  <si>
    <t>5번랙</t>
  </si>
  <si>
    <t>샴페인</t>
  </si>
  <si>
    <t>헨리옷 HENRIOT 샴페인</t>
  </si>
  <si>
    <t>크룩 KRUG 샴페인</t>
  </si>
  <si>
    <t>로버트 몬다비 리저브</t>
  </si>
  <si>
    <t>선물용</t>
  </si>
  <si>
    <t>비네도 차드윅</t>
  </si>
  <si>
    <t>루체</t>
  </si>
  <si>
    <t>오퍼스원</t>
  </si>
  <si>
    <t>우드커터스 쉬라즈</t>
  </si>
  <si>
    <t>Masseto (T)</t>
  </si>
  <si>
    <t>Grgich Hills Yountville Old Vine C/S</t>
  </si>
  <si>
    <t>(OT)Domaine Coche-Dury Puligny Montrachet Les Enseigneres</t>
  </si>
  <si>
    <t>Phillip Pacalet Chambolle Musigny 1er Cru "Les Sentiers"</t>
  </si>
  <si>
    <t>(OT)Henri Boillot Chevalier Montrachet Grand Cru Blanc</t>
  </si>
  <si>
    <t>Ch. Les Carmes Haut Brion</t>
  </si>
  <si>
    <t>와 인 재 고 현 황</t>
    <phoneticPr fontId="1" type="noConversion"/>
  </si>
  <si>
    <t>꼬띠 로띠 라 뚜르크</t>
  </si>
  <si>
    <t>6번랙</t>
  </si>
  <si>
    <t>Cote Rotie La Turque</t>
  </si>
  <si>
    <t>꼬띠 로띠 라 물린</t>
  </si>
  <si>
    <t>Cote Rotie La Mouline</t>
  </si>
  <si>
    <t>꼬띠 로띠 라 랑돈</t>
  </si>
  <si>
    <t>Cote Rotie La Landonne</t>
  </si>
  <si>
    <t>파빌리온 루즈 샤또 마고</t>
  </si>
  <si>
    <t>Pavillon Rouge</t>
  </si>
  <si>
    <t>7번랙</t>
  </si>
  <si>
    <t>볼랭저, 피엔 18 AYC 1500ml</t>
  </si>
  <si>
    <t>페블레, 꼬르똥 끌로 데 꼬르똥 그랑 크뤼</t>
  </si>
  <si>
    <t>Faiveley</t>
  </si>
  <si>
    <t>샤또 꼬스 데 뚜르넬</t>
  </si>
  <si>
    <t>8번랙</t>
  </si>
  <si>
    <t>Ch.Cos d'estournel</t>
  </si>
  <si>
    <t>샤또 오-브리옹</t>
  </si>
  <si>
    <t>Ch.Haut-Brion</t>
  </si>
  <si>
    <t>샤또 피지악</t>
  </si>
  <si>
    <t>Ch.Figeac</t>
  </si>
  <si>
    <t>씨네퀴넌</t>
  </si>
  <si>
    <t>9번랙</t>
  </si>
  <si>
    <t>Sine Qua Non</t>
  </si>
  <si>
    <t>Ch.Margaux</t>
  </si>
  <si>
    <t>오소메</t>
  </si>
  <si>
    <t>10번랙</t>
  </si>
  <si>
    <t>Au Sommet</t>
  </si>
  <si>
    <t>도미누스</t>
  </si>
  <si>
    <t>Dominus</t>
  </si>
  <si>
    <t>케이머스</t>
  </si>
  <si>
    <t>Caymus</t>
  </si>
  <si>
    <t>샤또 오베이</t>
  </si>
  <si>
    <t>Ch.Haut-Bailly</t>
  </si>
  <si>
    <t>샤또 슈발 블랑</t>
  </si>
  <si>
    <t>Ch.Cheval Blanc</t>
  </si>
  <si>
    <t>문차이 코 레오니스</t>
  </si>
  <si>
    <t>Moon Tsai Cor Leonis</t>
  </si>
  <si>
    <t>11번랙</t>
  </si>
  <si>
    <t>Ch.Palmer</t>
  </si>
  <si>
    <t>샤또 뒤크르 보까이유</t>
  </si>
  <si>
    <t>Ch.Ducru Beaucaillou</t>
  </si>
  <si>
    <t>샤또 뽕떼 까네</t>
  </si>
  <si>
    <t>Ch.Pontet Canet</t>
  </si>
  <si>
    <t>샤또 레오빌 라스 까스</t>
  </si>
  <si>
    <t>12번랙</t>
  </si>
  <si>
    <t>Ch.Leoville Las Cases</t>
  </si>
  <si>
    <t>샤또 레글리즈 끌리네</t>
  </si>
  <si>
    <t>Ch.L'eglise Clinet</t>
  </si>
  <si>
    <t>돔페리뇽 750ml</t>
  </si>
  <si>
    <t>샴페인박스(1)</t>
  </si>
  <si>
    <t>돔페리뇽 1500ml</t>
  </si>
  <si>
    <t>14번랙</t>
  </si>
  <si>
    <t>샴페인 (Bollinger VVF)</t>
  </si>
  <si>
    <t>로랑페리에</t>
  </si>
  <si>
    <t>자크숑 릴레징</t>
  </si>
  <si>
    <t>돔페리뇽</t>
  </si>
  <si>
    <t>샤또 앙젤루스</t>
  </si>
  <si>
    <t>15번랙</t>
  </si>
  <si>
    <t>Ch.Angelus</t>
  </si>
  <si>
    <t>샤또 라플레르</t>
  </si>
  <si>
    <t>Ch.Lafleur</t>
  </si>
  <si>
    <t>매그넘 (Caymus S. Selection)</t>
  </si>
  <si>
    <t>매그넘 (Opus One)</t>
  </si>
  <si>
    <t>프랑수아 까리용 퓔리니 몽라셰</t>
  </si>
  <si>
    <t>Carillon Francois Puligny Montrachet</t>
  </si>
  <si>
    <t>도멘 장테 팡시오 샤름 샹베르탱 그랑 크뤼 (매그넘)</t>
  </si>
  <si>
    <t>메종 카미유 지로 샹볼 뮈지니 1등급 레 제샹주</t>
  </si>
  <si>
    <t>MAISON CAMILLE GIROUD</t>
  </si>
  <si>
    <t>도멘 A.F. 그로 본 로마네 끌로 드 라 퐁텐 (매그넘)</t>
  </si>
  <si>
    <t>(OT) 올리비에 귀요 샹볼 뮈지니 1등급 레 보드</t>
  </si>
  <si>
    <t>Olivier Guyot</t>
  </si>
  <si>
    <t>포르투갈</t>
  </si>
  <si>
    <t>테일러스 빈티지 포트</t>
  </si>
  <si>
    <t>16번랙</t>
  </si>
  <si>
    <t>Taylor's Vintage Port</t>
  </si>
  <si>
    <t>매그넘 (Bollinger Grande Annee)</t>
  </si>
  <si>
    <t>사시까이아 6L</t>
  </si>
  <si>
    <t>17번랙</t>
  </si>
  <si>
    <t>임페리얼 6L</t>
  </si>
  <si>
    <t>사시까이아</t>
  </si>
  <si>
    <t>가야, 스페르스</t>
  </si>
  <si>
    <t>Gaja Sperss</t>
  </si>
  <si>
    <t>가야, 브루넬로 디 몬탈치노 수가릴레</t>
  </si>
  <si>
    <t>Gaja BDM Sugarille</t>
  </si>
  <si>
    <t>가야 나무 박스</t>
  </si>
  <si>
    <t>18번랙</t>
  </si>
  <si>
    <t>Gaja Wood Box</t>
  </si>
  <si>
    <t>VINO ROSSO</t>
  </si>
  <si>
    <t>1박스 (6병 기준)</t>
  </si>
  <si>
    <t>VINO BIANCO</t>
  </si>
  <si>
    <t>고르고나 Gorgona</t>
  </si>
  <si>
    <t>19번랙</t>
  </si>
  <si>
    <t>샤또 라피트 로칠드</t>
  </si>
  <si>
    <t>Ch.Lafite Rothschild</t>
  </si>
  <si>
    <t>샤또 오존</t>
  </si>
  <si>
    <t>Ch.Ausone</t>
  </si>
  <si>
    <t>Ch.Petrus</t>
  </si>
  <si>
    <t>샤또 마고</t>
  </si>
  <si>
    <t>샤또 디켐</t>
  </si>
  <si>
    <t>Ch.d'yquem</t>
  </si>
  <si>
    <t>샤또 오-브리옹 블랑</t>
  </si>
  <si>
    <t>Ch.Haut-Brion Blanc</t>
  </si>
  <si>
    <t>샤또 무똥 로칠드</t>
  </si>
  <si>
    <t>Ch.Mouton Rothschild</t>
  </si>
  <si>
    <t>메종 로슈 드 벨렌 퓔리니 몽라셰 1등급 레 폴라티에르</t>
  </si>
  <si>
    <t>나무박스</t>
  </si>
  <si>
    <t>샤또 파비용 블랑</t>
  </si>
  <si>
    <t>20번랙</t>
  </si>
  <si>
    <t>Ch.Pavillon Blanc</t>
  </si>
  <si>
    <t>샤또 뷰 샤또 세르땅</t>
  </si>
  <si>
    <t>Ch.Vieux Ch.Certan</t>
  </si>
  <si>
    <t>샤또 파비</t>
  </si>
  <si>
    <t>Ch.Pavie</t>
  </si>
  <si>
    <t>샤또 드 보까스텔, 샤또네프 뒤 빠쁘 루즈</t>
  </si>
  <si>
    <t>Chateauneuf du Pape</t>
  </si>
  <si>
    <t>샤또 드 보까스텔, 샤또네프 뒤 빠쁘 루싼느 비에이유 비뉴</t>
  </si>
  <si>
    <t>Roussanne V.V</t>
  </si>
  <si>
    <t>샤또 드 보까스텔, 오마쥬 자크 페랑 루즈</t>
  </si>
  <si>
    <t>Hommage a Jacque Perrin</t>
  </si>
  <si>
    <t>페블레, 뮈즈니 그랑 크뤼</t>
  </si>
  <si>
    <t>21번랙</t>
  </si>
  <si>
    <t>Faiveley Musigny G.C</t>
  </si>
  <si>
    <t>Faiveley Batard Montrachet G.C</t>
  </si>
  <si>
    <t>페블레, 꼬르똥 끌로 데 꼬르똥 그랑 크뤼 1500ml</t>
  </si>
  <si>
    <t>Faiveley Bienvenues Batard G.C</t>
  </si>
  <si>
    <t>라 따쉬</t>
  </si>
  <si>
    <t>DRC, Romanee st Vivant</t>
  </si>
  <si>
    <t>로마네 쌩 비방</t>
  </si>
  <si>
    <t>DRC, Corton</t>
  </si>
  <si>
    <t>꼬르똥</t>
  </si>
  <si>
    <t>DRC, Fine Bourgogne</t>
  </si>
  <si>
    <t>피네 부르고뉴 (화이트)</t>
  </si>
  <si>
    <t>페블레, 에세죠 그랑 크뤼</t>
  </si>
  <si>
    <t>Faiveley Echezeaux G.C</t>
  </si>
  <si>
    <t>22번랙</t>
  </si>
  <si>
    <t>페블레, 샹베르땡 끌로 드 베즈 그랑 크뤼</t>
  </si>
  <si>
    <t>Faiveley Chambertin Clos de Beze G.C</t>
  </si>
  <si>
    <t>샤또 트로타누아</t>
  </si>
  <si>
    <t>23번랙</t>
  </si>
  <si>
    <t>Ch.Trotanoy</t>
  </si>
  <si>
    <t>메르소</t>
  </si>
  <si>
    <t>Meursault</t>
  </si>
  <si>
    <t>도멘 르플레브 룰리 프리미에 크뤼</t>
  </si>
  <si>
    <t>Domaine Leflaive</t>
  </si>
  <si>
    <t>더저지</t>
  </si>
  <si>
    <t>Kongsgaard The Judge</t>
  </si>
  <si>
    <t>24번랙</t>
  </si>
  <si>
    <t>꽁뜨 리제벨레르 볼로마네</t>
  </si>
  <si>
    <t>Comte Liger-Belair</t>
  </si>
  <si>
    <t>꽁스가르드 샤도네이</t>
  </si>
  <si>
    <t>Kongsgaard Chardonnay</t>
  </si>
  <si>
    <t>샴페인 (Jacques Selosse)</t>
  </si>
  <si>
    <t>가야, 소리 틸딘</t>
  </si>
  <si>
    <t>25번랙</t>
  </si>
  <si>
    <t>Gaja, Sori Tildin</t>
  </si>
  <si>
    <t>가야, 코스타 루씨</t>
  </si>
  <si>
    <t>Gaja, Costa Russi</t>
  </si>
  <si>
    <t>가야, 소리 산 로렌조</t>
  </si>
  <si>
    <t>Gaja, Sori San Lorenzo</t>
  </si>
  <si>
    <t>솔라이아</t>
  </si>
  <si>
    <t>Solaia</t>
  </si>
  <si>
    <t>로카 디 프라시넬로, 바포네로</t>
  </si>
  <si>
    <t>Rocca di Frassinello</t>
  </si>
  <si>
    <t>Gaja, 소리 산 로렌조</t>
  </si>
  <si>
    <t>마세토</t>
  </si>
  <si>
    <t>26번랙</t>
  </si>
  <si>
    <t>Masseto</t>
  </si>
  <si>
    <t>마세티노</t>
  </si>
  <si>
    <t>Massetino</t>
  </si>
  <si>
    <t>매그넘 (회식 5병 사용분)</t>
  </si>
  <si>
    <t>Almaviva 알마비바</t>
  </si>
  <si>
    <t>부즈롱 알리고떼</t>
  </si>
  <si>
    <t>륄리 1등급 블랑 라끌루</t>
  </si>
  <si>
    <t>27번랙</t>
  </si>
  <si>
    <t>Vinedo Chadwick</t>
  </si>
  <si>
    <t>발부에나</t>
  </si>
  <si>
    <t>Valbuena No. 5</t>
  </si>
  <si>
    <t>우니코</t>
  </si>
  <si>
    <t>Unico</t>
  </si>
  <si>
    <t>샤또 드 보까스텔, 샤또네프 뒤 빠쁘 루즈 3000ml</t>
  </si>
  <si>
    <t>샴페인박스(2)</t>
  </si>
  <si>
    <t>샤또 드 보까스텔, 샤또네프 뒤 빠쁘 루즈 1500ml</t>
  </si>
  <si>
    <t>Bollinger Spectre James Bond 007 3L</t>
  </si>
  <si>
    <t>3L 더블매그넘</t>
  </si>
  <si>
    <t>Luce 1800ml</t>
  </si>
  <si>
    <t>도멘 듀 꾸벙 샹볼 뮈지니</t>
  </si>
  <si>
    <t>Capitain Gagnerot Corton Charlemagne Grand Cru White</t>
  </si>
  <si>
    <t>카피탱 가녜로 코르통 샤를마뉴</t>
  </si>
  <si>
    <t>루이자도 몽라쉐 그랑크뤼</t>
  </si>
  <si>
    <t>중앙랙(1번줄)</t>
  </si>
  <si>
    <t>Louis Jadot</t>
  </si>
  <si>
    <t>푸리그니 몬트라체 750ml</t>
  </si>
  <si>
    <t>중앙랙(2번줄)</t>
  </si>
  <si>
    <t>퓔리니 몽라셰</t>
  </si>
  <si>
    <t>크로스 데라 트루피에르 푸리그니 몬트라체 1크루 750ml</t>
  </si>
  <si>
    <t>클로 드 라 트뤼피에르 1er</t>
  </si>
  <si>
    <t>퓔리니 몽라쉐 라 르블랑스 750ml</t>
  </si>
  <si>
    <t>샤싼느 몽라쉐 레 마쥐르 750ml</t>
  </si>
  <si>
    <t>샤샤뉴 몽라셰</t>
  </si>
  <si>
    <t>바따르 몽라쉐 750ml</t>
  </si>
  <si>
    <t>가이아 앤 레이 750ml</t>
  </si>
  <si>
    <t>가야 가이아&amp;레이</t>
  </si>
  <si>
    <t>레비아탄(매그넘)</t>
  </si>
  <si>
    <t>매그넘 (Leviathan)</t>
  </si>
  <si>
    <t>Brunello Di Montalcino (매그넘)</t>
  </si>
  <si>
    <t>중앙랙(3번줄)</t>
  </si>
  <si>
    <t>지아코모 콘테르노 몬포르티노 14 1500ml</t>
  </si>
  <si>
    <t>스크리밍 이글 소비뇽 블랑</t>
  </si>
  <si>
    <t>Screaming Eagle</t>
  </si>
  <si>
    <t>Opus One</t>
  </si>
  <si>
    <t>샤또 페트뤼스</t>
  </si>
  <si>
    <t>마세토 21</t>
  </si>
  <si>
    <t>자쿠스 셀로스 로제 브뤼 750ml</t>
  </si>
  <si>
    <t>중앙랙(4번줄)</t>
  </si>
  <si>
    <t>페리에 주에 벨에포크 750ml</t>
  </si>
  <si>
    <t>부샤 슈발리에 몽라쉐 1500ml</t>
  </si>
  <si>
    <t>뀌베 마르게릿 1500ml</t>
  </si>
  <si>
    <t>씨네퀴넌 750ml</t>
  </si>
  <si>
    <t>마세토 750ml</t>
  </si>
  <si>
    <t>중앙랙(5번줄)</t>
  </si>
  <si>
    <t>에세조</t>
  </si>
  <si>
    <t>Echezeaux</t>
  </si>
  <si>
    <t>DRC La Tache</t>
  </si>
  <si>
    <t>Francois d`Allaines, Chassagne-Montrachet 1er Cru `Les Chaumees`</t>
  </si>
  <si>
    <t>샤또 라 라퀸느</t>
  </si>
  <si>
    <t>메르뀌리 레 몽토 (RED)</t>
  </si>
  <si>
    <t>캡샌디 엔드레 750ml</t>
  </si>
  <si>
    <t>중앙랙(6번줄)</t>
  </si>
  <si>
    <t>Kapcsandy Endre</t>
  </si>
  <si>
    <t>이 소디 산 니콜로750ml</t>
  </si>
  <si>
    <t>로마네 생 비방 그랑 크뤼750ml</t>
  </si>
  <si>
    <t>DRC Romanee St Vivant</t>
  </si>
  <si>
    <t>리쉬부르</t>
  </si>
  <si>
    <t>Richebourg</t>
  </si>
  <si>
    <t>보스네 로마네</t>
  </si>
  <si>
    <t>본 로마네</t>
  </si>
  <si>
    <t>륄리 1등급 블랑 몽빨레</t>
  </si>
  <si>
    <t>부즈롱 알리고뗴</t>
  </si>
  <si>
    <t>부르고뉴 레 끌루 에메</t>
  </si>
  <si>
    <t>1번랙(천장)</t>
  </si>
  <si>
    <t>샴페인 매그넘</t>
  </si>
  <si>
    <t>샤또 무똥 무칠드</t>
  </si>
  <si>
    <t>슈발리에 몽라쉐 그랜드 크루</t>
  </si>
  <si>
    <t>4,7번랙(천장)</t>
  </si>
  <si>
    <t>슈발리에 몽라쉐 레스 푸스래스</t>
  </si>
  <si>
    <t>Les Pucelles</t>
  </si>
  <si>
    <t>힐 오브 그레이스 쉬라즈</t>
  </si>
  <si>
    <t>Henschke Hill of Grace</t>
  </si>
  <si>
    <t>토마스 에스테반</t>
  </si>
  <si>
    <t>Tomas Esteban</t>
  </si>
  <si>
    <t>My hands</t>
  </si>
  <si>
    <t>볼드멀버리</t>
  </si>
  <si>
    <t>Bald Mountain</t>
  </si>
  <si>
    <t>할란에스테이트</t>
  </si>
  <si>
    <t>Harlan Estate</t>
  </si>
  <si>
    <t>나라셀러박스</t>
  </si>
  <si>
    <t>Bouchard Cor-Charl Grand Cru</t>
  </si>
  <si>
    <t>부샤 코르통 샤를마뉴</t>
  </si>
  <si>
    <t>팔라찌 테누타 디 트리노로 로쏘 토스카나</t>
  </si>
  <si>
    <t>삼도빌딩박스</t>
  </si>
  <si>
    <t>Nittardrd</t>
  </si>
  <si>
    <t>Biserno</t>
  </si>
  <si>
    <t>Monte Antico</t>
  </si>
  <si>
    <t>스크리밍 이글</t>
    <phoneticPr fontId="1" type="noConversion"/>
  </si>
  <si>
    <t>몬테 안티코</t>
    <phoneticPr fontId="1" type="noConversion"/>
  </si>
  <si>
    <t>오퍼스원</t>
    <phoneticPr fontId="1" type="noConversion"/>
  </si>
  <si>
    <t>케이머스 S.셀렉션</t>
    <phoneticPr fontId="1" type="noConversion"/>
  </si>
  <si>
    <t>케이머스 S.셀렉션 (매그넘)</t>
    <phoneticPr fontId="1" type="noConversion"/>
  </si>
  <si>
    <t>부즈롱 알리고떼</t>
    <phoneticPr fontId="1" type="noConversion"/>
  </si>
  <si>
    <t>볼랭저, 007 그랑아네 009 1500ml</t>
    <phoneticPr fontId="1" type="noConversion"/>
  </si>
  <si>
    <t>볼랭저 그랑아네 1500ml</t>
    <phoneticPr fontId="1" type="noConversion"/>
  </si>
  <si>
    <t>볼랭저, 비에이 비뉴 프랑세스</t>
    <phoneticPr fontId="1" type="noConversion"/>
  </si>
  <si>
    <t>볼랭저 제임스 본드 007 750ml</t>
    <phoneticPr fontId="1" type="noConversion"/>
  </si>
  <si>
    <t>볼랭저 라그랑아네 750ml</t>
    <phoneticPr fontId="1" type="noConversion"/>
  </si>
  <si>
    <t>자쿠스 셀로스 750ml 샴페인</t>
    <phoneticPr fontId="1" type="noConversion"/>
  </si>
  <si>
    <t>자쿠스 셀로스 샴페인</t>
    <phoneticPr fontId="1" type="noConversion"/>
  </si>
  <si>
    <t>DRC 라 따쉬</t>
    <phoneticPr fontId="1" type="noConversion"/>
  </si>
  <si>
    <t>DRC 라 따쉬 그랑크루 750ml</t>
    <phoneticPr fontId="1" type="noConversion"/>
  </si>
  <si>
    <t>*와인명</t>
    <phoneticPr fontId="1" type="noConversion"/>
  </si>
  <si>
    <t>50주년 에디션</t>
    <phoneticPr fontId="1" type="noConversion"/>
  </si>
  <si>
    <t>로버트 몬다비,까베르네 소비뇽 리저브(50주년 에디션)</t>
    <phoneticPr fontId="1" type="noConversion"/>
  </si>
  <si>
    <t>샤토 파프 클레망</t>
  </si>
  <si>
    <t>조셉 펠프스 빈야드</t>
    <phoneticPr fontId="1" type="noConversion"/>
  </si>
  <si>
    <t>7층</t>
    <phoneticPr fontId="1" type="noConversion"/>
  </si>
  <si>
    <t>도멘 퐁소, 끌로 드 라 로슈 그랑 크뤼 뀌베 비에이유 비뉴</t>
  </si>
  <si>
    <t>피터 마이클, 레 파보</t>
  </si>
  <si>
    <t>가야, 다르마지</t>
  </si>
  <si>
    <t>더 마스코트</t>
  </si>
  <si>
    <t>제이드 팰리스 골프클럽</t>
  </si>
  <si>
    <t>조셉 페블레, 샹볼 뮈지니</t>
  </si>
  <si>
    <t>펠릭스 카예호, 셀렉시온 데 비녜도스 데 라 파밀리아</t>
  </si>
  <si>
    <t>주세페 퀸타렐리, 아마로네 델라 발폴리첼라 클라시코</t>
  </si>
  <si>
    <t>알베르 비쇼, 샹볼 뮈지니</t>
  </si>
  <si>
    <t>페리에 주에 1500ml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</si>
</sst>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###&quot;종&quot;"/>
    <numFmt numFmtId="183" formatCode="#,##0&quot;병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82" fontId="2" fillId="0" borderId="0" xfId="0" applyNumberFormat="1" applyFon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8" fillId="0" borderId="0" xfId="0" applyFont="1" applyAlignment="1">
      <alignment vertical="center"/>
    </xf>
    <xf numFmtId="182" fontId="2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</cellXfs>
  <cellStyles count="2">
    <cellStyle name="표준" xfId="0" builtinId="0"/>
    <cellStyle name="표준 2 2" xfId="1" xr:uid="{5FD6769F-3124-4610-B292-B519B3F51686}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  <border>
        <top style="thin">
          <color auto="1"/>
        </top>
        <vertical/>
        <horizontal/>
      </border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  <border>
        <top style="thin">
          <color auto="1"/>
        </top>
        <vertical/>
        <horizontal/>
      </border>
    </dxf>
    <dxf>
      <fill>
        <patternFill>
          <bgColor theme="2" tint="-9.9948118533890809E-2"/>
        </patternFill>
      </fill>
      <border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dotted">
          <color theme="2" tint="-9.9948118533890809E-2"/>
        </top>
        <bottom style="dotted">
          <color theme="2" tint="-9.9948118533890809E-2"/>
        </bottom>
        <vertical/>
        <horizontal/>
      </border>
    </dxf>
    <dxf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B740-713C-4C5B-ADEF-8FBE93A3D42B}">
  <dimension ref="A1:I819"/>
  <sheetViews>
    <sheetView workbookViewId="0">
      <pane ySplit="2" topLeftCell="A279" activePane="bottomLeft" state="frozen"/>
      <selection pane="bottomLeft" activeCell="D300" sqref="D300"/>
    </sheetView>
    <sheetView tabSelected="1" topLeftCell="A206" workbookViewId="1">
      <selection activeCell="D229" sqref="D229"/>
    </sheetView>
  </sheetViews>
  <sheetFormatPr defaultRowHeight="16.5" x14ac:dyDescent="0.3"/>
  <cols>
    <col min="1" max="1" width="11.125" style="1" bestFit="1" customWidth="1"/>
    <col min="2" max="2" width="6.5" style="1" customWidth="1"/>
    <col min="3" max="3" width="9" style="1" bestFit="1" customWidth="1"/>
    <col min="4" max="4" width="53.375" style="1" customWidth="1"/>
    <col min="5" max="5" width="6.5" style="1" customWidth="1"/>
    <col min="6" max="6" width="13.5" style="1" bestFit="1" customWidth="1"/>
    <col min="7" max="7" width="6.5" style="1" customWidth="1"/>
    <col min="8" max="8" width="13.875" style="1" bestFit="1" customWidth="1"/>
    <col min="9" max="9" width="35.25" style="1" customWidth="1"/>
  </cols>
  <sheetData>
    <row r="1" spans="1:9" ht="26.25" x14ac:dyDescent="0.3">
      <c r="A1" s="4" t="s">
        <v>44</v>
      </c>
      <c r="B1" s="2"/>
      <c r="C1" s="2"/>
      <c r="D1" s="2"/>
      <c r="E1" s="2"/>
      <c r="F1" s="2"/>
      <c r="G1" s="2"/>
      <c r="H1" s="2"/>
      <c r="I1" s="2"/>
    </row>
    <row r="2" spans="1:9" s="6" customFormat="1" ht="28.5" customHeight="1" x14ac:dyDescent="0.3">
      <c r="A2" s="8" t="s">
        <v>0</v>
      </c>
      <c r="B2" s="8" t="s">
        <v>1</v>
      </c>
      <c r="C2" s="8" t="s">
        <v>21</v>
      </c>
      <c r="D2" s="8" t="s">
        <v>364</v>
      </c>
      <c r="E2" s="8" t="s">
        <v>3</v>
      </c>
      <c r="F2" s="8" t="s">
        <v>5</v>
      </c>
      <c r="G2" s="8" t="s">
        <v>4</v>
      </c>
      <c r="H2" s="8" t="s">
        <v>6</v>
      </c>
      <c r="I2" s="8" t="s">
        <v>7</v>
      </c>
    </row>
    <row r="3" spans="1:9" x14ac:dyDescent="0.3">
      <c r="A3" s="7">
        <v>46265</v>
      </c>
      <c r="B3" s="1" t="s">
        <v>12</v>
      </c>
      <c r="C3" s="1" t="s">
        <v>39</v>
      </c>
      <c r="D3" s="1" t="s">
        <v>45</v>
      </c>
      <c r="E3" s="1">
        <v>2009</v>
      </c>
      <c r="F3" s="1" t="s">
        <v>46</v>
      </c>
      <c r="G3" s="1">
        <v>3</v>
      </c>
      <c r="H3" s="1" t="s">
        <v>47</v>
      </c>
    </row>
    <row r="4" spans="1:9" x14ac:dyDescent="0.3">
      <c r="A4" s="7">
        <v>46265</v>
      </c>
      <c r="B4" s="1" t="s">
        <v>12</v>
      </c>
      <c r="C4" s="1" t="s">
        <v>39</v>
      </c>
      <c r="D4" s="1" t="s">
        <v>45</v>
      </c>
      <c r="E4" s="1">
        <v>2010</v>
      </c>
      <c r="F4" s="1" t="s">
        <v>46</v>
      </c>
      <c r="G4" s="1">
        <v>3</v>
      </c>
      <c r="H4" s="1" t="s">
        <v>47</v>
      </c>
    </row>
    <row r="5" spans="1:9" x14ac:dyDescent="0.3">
      <c r="A5" s="7">
        <v>46265</v>
      </c>
      <c r="B5" s="1" t="s">
        <v>12</v>
      </c>
      <c r="C5" s="1" t="s">
        <v>39</v>
      </c>
      <c r="D5" s="1" t="s">
        <v>45</v>
      </c>
      <c r="E5" s="1">
        <v>2011</v>
      </c>
      <c r="F5" s="1" t="s">
        <v>46</v>
      </c>
      <c r="G5" s="1">
        <v>3</v>
      </c>
      <c r="H5" s="1" t="s">
        <v>47</v>
      </c>
    </row>
    <row r="6" spans="1:9" x14ac:dyDescent="0.3">
      <c r="A6" s="7">
        <v>46265</v>
      </c>
      <c r="B6" s="1" t="s">
        <v>12</v>
      </c>
      <c r="C6" s="1" t="s">
        <v>39</v>
      </c>
      <c r="D6" s="1" t="s">
        <v>45</v>
      </c>
      <c r="E6" s="1">
        <v>2012</v>
      </c>
      <c r="F6" s="1" t="s">
        <v>46</v>
      </c>
      <c r="G6" s="1">
        <v>3</v>
      </c>
      <c r="H6" s="1" t="s">
        <v>47</v>
      </c>
    </row>
    <row r="7" spans="1:9" x14ac:dyDescent="0.3">
      <c r="A7" s="7">
        <v>46265</v>
      </c>
      <c r="B7" s="1" t="s">
        <v>12</v>
      </c>
      <c r="C7" s="1" t="s">
        <v>39</v>
      </c>
      <c r="D7" s="1" t="s">
        <v>45</v>
      </c>
      <c r="E7" s="1">
        <v>2010</v>
      </c>
      <c r="F7" s="1" t="s">
        <v>46</v>
      </c>
      <c r="G7" s="1">
        <v>9</v>
      </c>
      <c r="H7" s="1" t="s">
        <v>47</v>
      </c>
    </row>
    <row r="8" spans="1:9" x14ac:dyDescent="0.3">
      <c r="A8" s="7">
        <v>46265</v>
      </c>
      <c r="B8" s="1" t="s">
        <v>12</v>
      </c>
      <c r="C8" s="1" t="s">
        <v>48</v>
      </c>
      <c r="D8" s="1" t="s">
        <v>49</v>
      </c>
      <c r="E8" s="1">
        <v>2007</v>
      </c>
      <c r="F8" s="1" t="s">
        <v>46</v>
      </c>
      <c r="G8" s="1">
        <v>6</v>
      </c>
      <c r="H8" s="1" t="s">
        <v>47</v>
      </c>
    </row>
    <row r="9" spans="1:9" x14ac:dyDescent="0.3">
      <c r="A9" s="7">
        <v>46265</v>
      </c>
      <c r="B9" s="1" t="s">
        <v>12</v>
      </c>
      <c r="C9" s="1" t="s">
        <v>48</v>
      </c>
      <c r="D9" s="1" t="s">
        <v>49</v>
      </c>
      <c r="E9" s="1">
        <v>2006</v>
      </c>
      <c r="F9" s="1" t="s">
        <v>46</v>
      </c>
      <c r="G9" s="1">
        <v>1</v>
      </c>
      <c r="H9" s="1" t="s">
        <v>47</v>
      </c>
    </row>
    <row r="10" spans="1:9" x14ac:dyDescent="0.3">
      <c r="A10" s="7">
        <v>46265</v>
      </c>
      <c r="B10" s="1" t="s">
        <v>12</v>
      </c>
      <c r="C10" s="1" t="s">
        <v>48</v>
      </c>
      <c r="D10" s="1" t="s">
        <v>49</v>
      </c>
      <c r="E10" s="1">
        <v>2007</v>
      </c>
      <c r="F10" s="1" t="s">
        <v>46</v>
      </c>
      <c r="G10" s="1">
        <v>5</v>
      </c>
      <c r="H10" s="1" t="s">
        <v>47</v>
      </c>
    </row>
    <row r="11" spans="1:9" x14ac:dyDescent="0.3">
      <c r="A11" s="7">
        <v>46265</v>
      </c>
      <c r="B11" s="1" t="s">
        <v>12</v>
      </c>
      <c r="C11" s="1" t="s">
        <v>48</v>
      </c>
      <c r="D11" s="1" t="s">
        <v>50</v>
      </c>
      <c r="E11" s="1">
        <v>2005</v>
      </c>
      <c r="F11" s="1" t="s">
        <v>46</v>
      </c>
      <c r="G11" s="1">
        <v>2</v>
      </c>
      <c r="H11" s="1" t="s">
        <v>47</v>
      </c>
      <c r="I11" s="1" t="s">
        <v>51</v>
      </c>
    </row>
    <row r="12" spans="1:9" x14ac:dyDescent="0.3">
      <c r="A12" s="7">
        <v>46265</v>
      </c>
      <c r="B12" s="1" t="s">
        <v>12</v>
      </c>
      <c r="C12" s="1" t="s">
        <v>39</v>
      </c>
      <c r="D12" s="1" t="s">
        <v>52</v>
      </c>
      <c r="E12" s="1" t="s">
        <v>53</v>
      </c>
      <c r="F12" s="1" t="s">
        <v>54</v>
      </c>
      <c r="G12" s="1">
        <v>3</v>
      </c>
      <c r="H12" s="1" t="s">
        <v>47</v>
      </c>
      <c r="I12" s="1" t="s">
        <v>55</v>
      </c>
    </row>
    <row r="13" spans="1:9" x14ac:dyDescent="0.3">
      <c r="A13" s="7">
        <v>46265</v>
      </c>
      <c r="B13" s="1" t="s">
        <v>12</v>
      </c>
      <c r="C13" s="1" t="s">
        <v>39</v>
      </c>
      <c r="D13" s="1" t="s">
        <v>366</v>
      </c>
      <c r="E13" s="1">
        <v>2013</v>
      </c>
      <c r="F13" s="1" t="s">
        <v>54</v>
      </c>
      <c r="G13" s="1">
        <v>3</v>
      </c>
      <c r="H13" s="1" t="s">
        <v>47</v>
      </c>
      <c r="I13" s="1" t="s">
        <v>365</v>
      </c>
    </row>
    <row r="14" spans="1:9" x14ac:dyDescent="0.3">
      <c r="A14" s="7">
        <v>46265</v>
      </c>
      <c r="B14" s="1" t="s">
        <v>12</v>
      </c>
      <c r="C14" s="1" t="s">
        <v>22</v>
      </c>
      <c r="D14" s="1" t="s">
        <v>56</v>
      </c>
      <c r="E14" s="1">
        <v>2010</v>
      </c>
      <c r="F14" s="1" t="s">
        <v>54</v>
      </c>
      <c r="G14" s="1">
        <v>12</v>
      </c>
      <c r="H14" s="1" t="s">
        <v>47</v>
      </c>
    </row>
    <row r="15" spans="1:9" x14ac:dyDescent="0.3">
      <c r="A15" s="7">
        <v>46265</v>
      </c>
      <c r="B15" s="1" t="s">
        <v>12</v>
      </c>
      <c r="C15" s="1" t="s">
        <v>22</v>
      </c>
      <c r="D15" s="1" t="s">
        <v>57</v>
      </c>
      <c r="E15" s="1">
        <v>2011</v>
      </c>
      <c r="F15" s="1" t="s">
        <v>58</v>
      </c>
      <c r="G15" s="1">
        <v>6</v>
      </c>
      <c r="H15" s="1" t="s">
        <v>47</v>
      </c>
      <c r="I15" s="1" t="s">
        <v>59</v>
      </c>
    </row>
    <row r="16" spans="1:9" x14ac:dyDescent="0.3">
      <c r="A16" s="7">
        <v>46265</v>
      </c>
      <c r="B16" s="1" t="s">
        <v>12</v>
      </c>
      <c r="C16" s="1" t="s">
        <v>22</v>
      </c>
      <c r="D16" s="1" t="s">
        <v>60</v>
      </c>
      <c r="E16" s="1">
        <v>2010</v>
      </c>
      <c r="F16" s="1" t="s">
        <v>58</v>
      </c>
      <c r="G16" s="1">
        <v>3</v>
      </c>
      <c r="H16" s="1" t="s">
        <v>47</v>
      </c>
    </row>
    <row r="17" spans="1:9" x14ac:dyDescent="0.3">
      <c r="A17" s="7">
        <v>46265</v>
      </c>
      <c r="B17" s="1" t="s">
        <v>12</v>
      </c>
      <c r="C17" s="1" t="s">
        <v>22</v>
      </c>
      <c r="D17" s="1" t="s">
        <v>60</v>
      </c>
      <c r="E17" s="1">
        <v>2021</v>
      </c>
      <c r="F17" s="1" t="s">
        <v>58</v>
      </c>
      <c r="G17" s="1">
        <v>3</v>
      </c>
      <c r="H17" s="1" t="s">
        <v>47</v>
      </c>
    </row>
    <row r="18" spans="1:9" x14ac:dyDescent="0.3">
      <c r="A18" s="7">
        <v>46265</v>
      </c>
      <c r="B18" s="1" t="s">
        <v>12</v>
      </c>
      <c r="C18" s="1" t="s">
        <v>22</v>
      </c>
      <c r="D18" s="1" t="s">
        <v>61</v>
      </c>
      <c r="E18" s="1">
        <v>2018</v>
      </c>
      <c r="F18" s="1" t="s">
        <v>58</v>
      </c>
      <c r="G18" s="1">
        <v>4</v>
      </c>
      <c r="H18" s="1" t="s">
        <v>47</v>
      </c>
    </row>
    <row r="19" spans="1:9" x14ac:dyDescent="0.3">
      <c r="A19" s="7">
        <v>46265</v>
      </c>
      <c r="B19" s="1" t="s">
        <v>12</v>
      </c>
      <c r="C19" s="1" t="s">
        <v>22</v>
      </c>
      <c r="D19" s="1" t="s">
        <v>61</v>
      </c>
      <c r="E19" s="1">
        <v>2020</v>
      </c>
      <c r="F19" s="1" t="s">
        <v>58</v>
      </c>
      <c r="G19" s="1">
        <v>2</v>
      </c>
      <c r="H19" s="1" t="s">
        <v>47</v>
      </c>
    </row>
    <row r="20" spans="1:9" x14ac:dyDescent="0.3">
      <c r="A20" s="7">
        <v>46265</v>
      </c>
      <c r="B20" s="1" t="s">
        <v>12</v>
      </c>
      <c r="C20" s="1" t="s">
        <v>22</v>
      </c>
      <c r="D20" s="1" t="s">
        <v>61</v>
      </c>
      <c r="E20" s="1">
        <v>2019</v>
      </c>
      <c r="F20" s="1" t="s">
        <v>58</v>
      </c>
      <c r="G20" s="1">
        <v>6</v>
      </c>
      <c r="H20" s="1" t="s">
        <v>47</v>
      </c>
    </row>
    <row r="21" spans="1:9" x14ac:dyDescent="0.3">
      <c r="A21" s="7">
        <v>46265</v>
      </c>
      <c r="B21" s="1" t="s">
        <v>12</v>
      </c>
      <c r="C21" s="1" t="s">
        <v>43</v>
      </c>
      <c r="D21" s="1" t="s">
        <v>62</v>
      </c>
      <c r="E21" s="1">
        <v>2012</v>
      </c>
      <c r="F21" s="1" t="s">
        <v>63</v>
      </c>
      <c r="G21" s="1">
        <v>4</v>
      </c>
      <c r="H21" s="1" t="s">
        <v>47</v>
      </c>
      <c r="I21" s="1" t="s">
        <v>51</v>
      </c>
    </row>
    <row r="22" spans="1:9" x14ac:dyDescent="0.3">
      <c r="A22" s="7">
        <v>46265</v>
      </c>
      <c r="B22" s="1" t="s">
        <v>12</v>
      </c>
      <c r="C22" s="1" t="s">
        <v>43</v>
      </c>
      <c r="D22" s="1" t="s">
        <v>62</v>
      </c>
      <c r="E22" s="1">
        <v>2009</v>
      </c>
      <c r="F22" s="1" t="s">
        <v>63</v>
      </c>
      <c r="G22" s="1">
        <v>4</v>
      </c>
      <c r="H22" s="1" t="s">
        <v>47</v>
      </c>
      <c r="I22" s="1" t="s">
        <v>51</v>
      </c>
    </row>
    <row r="23" spans="1:9" x14ac:dyDescent="0.3">
      <c r="A23" s="7">
        <v>46265</v>
      </c>
      <c r="B23" s="1" t="s">
        <v>12</v>
      </c>
      <c r="C23" s="1" t="s">
        <v>43</v>
      </c>
      <c r="D23" s="1" t="s">
        <v>64</v>
      </c>
      <c r="E23" s="1">
        <v>2012</v>
      </c>
      <c r="F23" s="1" t="s">
        <v>63</v>
      </c>
      <c r="G23" s="1">
        <v>2</v>
      </c>
      <c r="H23" s="1" t="s">
        <v>47</v>
      </c>
      <c r="I23" s="1" t="s">
        <v>65</v>
      </c>
    </row>
    <row r="24" spans="1:9" x14ac:dyDescent="0.3">
      <c r="A24" s="7">
        <v>46265</v>
      </c>
      <c r="B24" s="1" t="s">
        <v>12</v>
      </c>
      <c r="C24" s="1" t="s">
        <v>43</v>
      </c>
      <c r="D24" s="1" t="s">
        <v>66</v>
      </c>
      <c r="E24" s="1">
        <v>2008</v>
      </c>
      <c r="F24" s="1" t="s">
        <v>63</v>
      </c>
      <c r="G24" s="1">
        <v>3</v>
      </c>
      <c r="H24" s="1" t="s">
        <v>47</v>
      </c>
      <c r="I24" s="1" t="s">
        <v>51</v>
      </c>
    </row>
    <row r="25" spans="1:9" x14ac:dyDescent="0.3">
      <c r="A25" s="7">
        <v>46265</v>
      </c>
      <c r="B25" s="1" t="s">
        <v>12</v>
      </c>
      <c r="C25" s="1" t="s">
        <v>43</v>
      </c>
      <c r="D25" s="1" t="s">
        <v>66</v>
      </c>
      <c r="E25" s="1">
        <v>2010</v>
      </c>
      <c r="F25" s="1" t="s">
        <v>63</v>
      </c>
      <c r="G25" s="1">
        <v>7</v>
      </c>
      <c r="H25" s="1" t="s">
        <v>47</v>
      </c>
      <c r="I25" s="1" t="s">
        <v>51</v>
      </c>
    </row>
    <row r="26" spans="1:9" x14ac:dyDescent="0.3">
      <c r="A26" s="7">
        <v>46265</v>
      </c>
      <c r="B26" s="1" t="s">
        <v>12</v>
      </c>
      <c r="C26" s="1" t="s">
        <v>43</v>
      </c>
      <c r="D26" s="1" t="s">
        <v>67</v>
      </c>
      <c r="E26" s="1">
        <v>2010</v>
      </c>
      <c r="F26" s="1" t="s">
        <v>63</v>
      </c>
      <c r="G26" s="1">
        <v>2</v>
      </c>
      <c r="H26" s="1" t="s">
        <v>47</v>
      </c>
      <c r="I26" s="1" t="s">
        <v>65</v>
      </c>
    </row>
    <row r="27" spans="1:9" x14ac:dyDescent="0.3">
      <c r="A27" s="7">
        <v>46265</v>
      </c>
      <c r="B27" s="1" t="s">
        <v>12</v>
      </c>
      <c r="C27" s="1" t="s">
        <v>22</v>
      </c>
      <c r="D27" s="1" t="s">
        <v>68</v>
      </c>
      <c r="E27" s="1" t="s">
        <v>53</v>
      </c>
      <c r="F27" s="1" t="s">
        <v>69</v>
      </c>
      <c r="G27" s="1">
        <v>6</v>
      </c>
      <c r="H27" s="1" t="s">
        <v>47</v>
      </c>
      <c r="I27" s="1" t="s">
        <v>70</v>
      </c>
    </row>
    <row r="28" spans="1:9" x14ac:dyDescent="0.3">
      <c r="A28" s="7">
        <v>46265</v>
      </c>
      <c r="B28" s="1" t="s">
        <v>12</v>
      </c>
      <c r="C28" s="1" t="s">
        <v>22</v>
      </c>
      <c r="D28" s="1" t="s">
        <v>71</v>
      </c>
      <c r="E28" s="1">
        <v>1996</v>
      </c>
      <c r="F28" s="1" t="s">
        <v>69</v>
      </c>
      <c r="G28" s="1">
        <v>4</v>
      </c>
      <c r="H28" s="1" t="s">
        <v>47</v>
      </c>
      <c r="I28" s="1" t="s">
        <v>70</v>
      </c>
    </row>
    <row r="29" spans="1:9" x14ac:dyDescent="0.3">
      <c r="A29" s="7">
        <v>46265</v>
      </c>
      <c r="B29" s="1" t="s">
        <v>12</v>
      </c>
      <c r="C29" s="1" t="s">
        <v>22</v>
      </c>
      <c r="D29" s="1" t="s">
        <v>72</v>
      </c>
      <c r="E29" s="1" t="s">
        <v>53</v>
      </c>
      <c r="F29" s="1" t="s">
        <v>69</v>
      </c>
      <c r="G29" s="1">
        <v>6</v>
      </c>
      <c r="H29" s="1" t="s">
        <v>47</v>
      </c>
      <c r="I29" s="1" t="s">
        <v>70</v>
      </c>
    </row>
    <row r="30" spans="1:9" x14ac:dyDescent="0.3">
      <c r="A30" s="7">
        <v>46265</v>
      </c>
      <c r="B30" s="1" t="s">
        <v>12</v>
      </c>
      <c r="C30" s="1" t="s">
        <v>39</v>
      </c>
      <c r="D30" s="1" t="s">
        <v>73</v>
      </c>
      <c r="E30" s="1">
        <v>2007</v>
      </c>
      <c r="F30" s="1" t="s">
        <v>69</v>
      </c>
      <c r="G30" s="1">
        <v>1</v>
      </c>
      <c r="H30" s="1" t="s">
        <v>47</v>
      </c>
      <c r="I30" s="1" t="s">
        <v>74</v>
      </c>
    </row>
    <row r="31" spans="1:9" x14ac:dyDescent="0.3">
      <c r="A31" s="7">
        <v>46265</v>
      </c>
      <c r="B31" s="1" t="s">
        <v>12</v>
      </c>
      <c r="C31" s="1" t="s">
        <v>41</v>
      </c>
      <c r="D31" s="1" t="s">
        <v>75</v>
      </c>
      <c r="E31" s="1" t="s">
        <v>53</v>
      </c>
      <c r="F31" s="1" t="s">
        <v>69</v>
      </c>
      <c r="G31" s="1">
        <v>1</v>
      </c>
      <c r="H31" s="1" t="s">
        <v>47</v>
      </c>
      <c r="I31" s="1" t="s">
        <v>74</v>
      </c>
    </row>
    <row r="32" spans="1:9" x14ac:dyDescent="0.3">
      <c r="A32" s="7">
        <v>46265</v>
      </c>
      <c r="B32" s="1" t="s">
        <v>12</v>
      </c>
      <c r="C32" s="1" t="s">
        <v>22</v>
      </c>
      <c r="D32" s="1" t="s">
        <v>28</v>
      </c>
      <c r="E32" s="1">
        <v>2005</v>
      </c>
      <c r="F32" s="1" t="s">
        <v>69</v>
      </c>
      <c r="G32" s="1">
        <v>1</v>
      </c>
      <c r="H32" s="1" t="s">
        <v>47</v>
      </c>
      <c r="I32" s="1" t="s">
        <v>74</v>
      </c>
    </row>
    <row r="33" spans="1:9" x14ac:dyDescent="0.3">
      <c r="A33" s="7">
        <v>46265</v>
      </c>
      <c r="B33" s="1" t="s">
        <v>12</v>
      </c>
      <c r="C33" s="1" t="s">
        <v>43</v>
      </c>
      <c r="D33" s="1" t="s">
        <v>76</v>
      </c>
      <c r="E33" s="1">
        <v>2011</v>
      </c>
      <c r="F33" s="1" t="s">
        <v>69</v>
      </c>
      <c r="G33" s="1">
        <v>1</v>
      </c>
      <c r="H33" s="1" t="s">
        <v>47</v>
      </c>
      <c r="I33" s="1" t="s">
        <v>74</v>
      </c>
    </row>
    <row r="34" spans="1:9" x14ac:dyDescent="0.3">
      <c r="A34" s="7">
        <v>46265</v>
      </c>
      <c r="B34" s="1" t="s">
        <v>12</v>
      </c>
      <c r="C34" s="1" t="s">
        <v>39</v>
      </c>
      <c r="D34" s="1" t="s">
        <v>351</v>
      </c>
      <c r="E34" s="1">
        <v>2010</v>
      </c>
      <c r="F34" s="1" t="s">
        <v>69</v>
      </c>
      <c r="G34" s="1">
        <v>0</v>
      </c>
      <c r="H34" s="1" t="s">
        <v>47</v>
      </c>
      <c r="I34" s="1" t="s">
        <v>74</v>
      </c>
    </row>
    <row r="35" spans="1:9" x14ac:dyDescent="0.3">
      <c r="A35" s="7">
        <v>46265</v>
      </c>
      <c r="B35" s="1" t="s">
        <v>12</v>
      </c>
      <c r="C35" s="1" t="s">
        <v>48</v>
      </c>
      <c r="D35" s="1" t="s">
        <v>78</v>
      </c>
      <c r="E35" s="1" t="s">
        <v>53</v>
      </c>
      <c r="F35" s="1" t="s">
        <v>69</v>
      </c>
      <c r="G35" s="1">
        <v>1</v>
      </c>
      <c r="H35" s="1" t="s">
        <v>47</v>
      </c>
      <c r="I35" s="1" t="s">
        <v>74</v>
      </c>
    </row>
    <row r="36" spans="1:9" x14ac:dyDescent="0.3">
      <c r="A36" s="7">
        <v>46265</v>
      </c>
      <c r="B36" s="1" t="s">
        <v>12</v>
      </c>
      <c r="C36" s="1" t="s">
        <v>43</v>
      </c>
      <c r="D36" s="1" t="s">
        <v>79</v>
      </c>
      <c r="E36" s="1">
        <v>2014</v>
      </c>
      <c r="F36" s="1" t="s">
        <v>69</v>
      </c>
      <c r="G36" s="1">
        <v>1</v>
      </c>
      <c r="H36" s="1" t="s">
        <v>47</v>
      </c>
    </row>
    <row r="37" spans="1:9" x14ac:dyDescent="0.3">
      <c r="A37" s="7">
        <v>46265</v>
      </c>
      <c r="B37" s="1" t="s">
        <v>12</v>
      </c>
      <c r="C37" s="1" t="s">
        <v>39</v>
      </c>
      <c r="D37" s="1" t="s">
        <v>80</v>
      </c>
      <c r="E37" s="1">
        <v>2019</v>
      </c>
      <c r="F37" s="1" t="s">
        <v>69</v>
      </c>
      <c r="G37" s="1">
        <v>2</v>
      </c>
      <c r="H37" s="1" t="s">
        <v>47</v>
      </c>
    </row>
    <row r="38" spans="1:9" x14ac:dyDescent="0.3">
      <c r="A38" s="7">
        <v>46265</v>
      </c>
      <c r="B38" s="1" t="s">
        <v>12</v>
      </c>
      <c r="C38" s="1" t="s">
        <v>22</v>
      </c>
      <c r="D38" s="1" t="s">
        <v>81</v>
      </c>
      <c r="E38" s="1">
        <v>2018</v>
      </c>
      <c r="F38" s="1" t="s">
        <v>69</v>
      </c>
      <c r="G38" s="1">
        <v>1</v>
      </c>
      <c r="H38" s="1" t="s">
        <v>47</v>
      </c>
    </row>
    <row r="39" spans="1:9" x14ac:dyDescent="0.3">
      <c r="A39" s="7">
        <v>46265</v>
      </c>
      <c r="B39" s="1" t="s">
        <v>12</v>
      </c>
      <c r="C39" s="1" t="s">
        <v>22</v>
      </c>
      <c r="D39" s="1" t="s">
        <v>82</v>
      </c>
      <c r="E39" s="1">
        <v>2021</v>
      </c>
      <c r="F39" s="1" t="s">
        <v>69</v>
      </c>
      <c r="G39" s="1">
        <v>1</v>
      </c>
      <c r="H39" s="1" t="s">
        <v>47</v>
      </c>
    </row>
    <row r="40" spans="1:9" x14ac:dyDescent="0.3">
      <c r="A40" s="7">
        <v>46265</v>
      </c>
      <c r="B40" s="1" t="s">
        <v>12</v>
      </c>
      <c r="C40" s="1" t="s">
        <v>22</v>
      </c>
      <c r="D40" s="1" t="s">
        <v>83</v>
      </c>
      <c r="E40" s="1">
        <v>2018</v>
      </c>
      <c r="F40" s="1" t="s">
        <v>69</v>
      </c>
      <c r="G40" s="1">
        <v>1</v>
      </c>
      <c r="H40" s="1" t="s">
        <v>47</v>
      </c>
    </row>
    <row r="41" spans="1:9" x14ac:dyDescent="0.3">
      <c r="A41" s="7">
        <v>46265</v>
      </c>
      <c r="B41" s="1" t="s">
        <v>12</v>
      </c>
      <c r="C41" s="1" t="s">
        <v>22</v>
      </c>
      <c r="D41" s="1" t="s">
        <v>84</v>
      </c>
      <c r="E41" s="1">
        <v>2022</v>
      </c>
      <c r="F41" s="1" t="s">
        <v>69</v>
      </c>
      <c r="G41" s="1">
        <v>5</v>
      </c>
      <c r="H41" s="1" t="s">
        <v>47</v>
      </c>
    </row>
    <row r="42" spans="1:9" x14ac:dyDescent="0.3">
      <c r="A42" s="7">
        <v>46265</v>
      </c>
      <c r="B42" s="1" t="s">
        <v>12</v>
      </c>
      <c r="C42" s="1" t="s">
        <v>22</v>
      </c>
      <c r="D42" s="1" t="s">
        <v>86</v>
      </c>
      <c r="E42" s="1">
        <v>2007</v>
      </c>
      <c r="F42" s="1" t="s">
        <v>87</v>
      </c>
      <c r="G42" s="1">
        <v>1</v>
      </c>
      <c r="H42" s="1" t="s">
        <v>47</v>
      </c>
      <c r="I42" s="1" t="s">
        <v>88</v>
      </c>
    </row>
    <row r="43" spans="1:9" x14ac:dyDescent="0.3">
      <c r="A43" s="7">
        <v>46265</v>
      </c>
      <c r="B43" s="1" t="s">
        <v>12</v>
      </c>
      <c r="C43" s="1" t="s">
        <v>22</v>
      </c>
      <c r="D43" s="1" t="s">
        <v>89</v>
      </c>
      <c r="E43" s="1">
        <v>2007</v>
      </c>
      <c r="F43" s="1" t="s">
        <v>87</v>
      </c>
      <c r="G43" s="1">
        <v>1</v>
      </c>
      <c r="H43" s="1" t="s">
        <v>47</v>
      </c>
      <c r="I43" s="1" t="s">
        <v>90</v>
      </c>
    </row>
    <row r="44" spans="1:9" x14ac:dyDescent="0.3">
      <c r="A44" s="7">
        <v>46265</v>
      </c>
      <c r="B44" s="1" t="s">
        <v>12</v>
      </c>
      <c r="C44" s="1" t="s">
        <v>22</v>
      </c>
      <c r="D44" s="1" t="s">
        <v>91</v>
      </c>
      <c r="E44" s="1">
        <v>2007</v>
      </c>
      <c r="F44" s="1" t="s">
        <v>87</v>
      </c>
      <c r="G44" s="1">
        <v>1</v>
      </c>
      <c r="H44" s="1" t="s">
        <v>47</v>
      </c>
      <c r="I44" s="1" t="s">
        <v>92</v>
      </c>
    </row>
    <row r="45" spans="1:9" x14ac:dyDescent="0.3">
      <c r="A45" s="7">
        <v>46265</v>
      </c>
      <c r="B45" s="1" t="s">
        <v>12</v>
      </c>
      <c r="C45" s="1" t="s">
        <v>22</v>
      </c>
      <c r="D45" s="1" t="s">
        <v>86</v>
      </c>
      <c r="E45" s="1">
        <v>2009</v>
      </c>
      <c r="F45" s="1" t="s">
        <v>87</v>
      </c>
      <c r="G45" s="1">
        <v>4</v>
      </c>
      <c r="H45" s="1" t="s">
        <v>47</v>
      </c>
      <c r="I45" s="1" t="s">
        <v>88</v>
      </c>
    </row>
    <row r="46" spans="1:9" x14ac:dyDescent="0.3">
      <c r="A46" s="7">
        <v>46265</v>
      </c>
      <c r="B46" s="1" t="s">
        <v>12</v>
      </c>
      <c r="C46" s="1" t="s">
        <v>22</v>
      </c>
      <c r="D46" s="1" t="s">
        <v>89</v>
      </c>
      <c r="E46" s="1">
        <v>2009</v>
      </c>
      <c r="F46" s="1" t="s">
        <v>87</v>
      </c>
      <c r="G46" s="1">
        <v>4</v>
      </c>
      <c r="H46" s="1" t="s">
        <v>47</v>
      </c>
      <c r="I46" s="1" t="s">
        <v>90</v>
      </c>
    </row>
    <row r="47" spans="1:9" x14ac:dyDescent="0.3">
      <c r="A47" s="7">
        <v>46265</v>
      </c>
      <c r="B47" s="1" t="s">
        <v>12</v>
      </c>
      <c r="C47" s="1" t="s">
        <v>22</v>
      </c>
      <c r="D47" s="1" t="s">
        <v>91</v>
      </c>
      <c r="E47" s="1">
        <v>2009</v>
      </c>
      <c r="F47" s="1" t="s">
        <v>87</v>
      </c>
      <c r="G47" s="1">
        <v>4</v>
      </c>
      <c r="H47" s="1" t="s">
        <v>47</v>
      </c>
      <c r="I47" s="1" t="s">
        <v>92</v>
      </c>
    </row>
    <row r="48" spans="1:9" x14ac:dyDescent="0.3">
      <c r="A48" s="7">
        <v>46265</v>
      </c>
      <c r="B48" s="1" t="s">
        <v>12</v>
      </c>
      <c r="C48" s="1" t="s">
        <v>22</v>
      </c>
      <c r="D48" s="1" t="s">
        <v>360</v>
      </c>
      <c r="E48" s="1" t="s">
        <v>53</v>
      </c>
      <c r="F48" s="1" t="s">
        <v>87</v>
      </c>
      <c r="G48" s="1">
        <v>12</v>
      </c>
      <c r="H48" s="1" t="s">
        <v>47</v>
      </c>
      <c r="I48" s="1" t="s">
        <v>70</v>
      </c>
    </row>
    <row r="49" spans="1:9" x14ac:dyDescent="0.3">
      <c r="A49" s="7">
        <v>46265</v>
      </c>
      <c r="B49" s="1" t="s">
        <v>12</v>
      </c>
      <c r="C49" s="1" t="s">
        <v>22</v>
      </c>
      <c r="D49" s="1" t="s">
        <v>93</v>
      </c>
      <c r="E49" s="1">
        <v>2008</v>
      </c>
      <c r="F49" s="1" t="s">
        <v>87</v>
      </c>
      <c r="G49" s="1">
        <v>12</v>
      </c>
      <c r="H49" s="1" t="s">
        <v>47</v>
      </c>
      <c r="I49" s="1" t="s">
        <v>94</v>
      </c>
    </row>
    <row r="50" spans="1:9" x14ac:dyDescent="0.3">
      <c r="A50" s="7">
        <v>46265</v>
      </c>
      <c r="B50" s="1" t="s">
        <v>12</v>
      </c>
      <c r="C50" s="1" t="s">
        <v>22</v>
      </c>
      <c r="D50" s="1" t="s">
        <v>355</v>
      </c>
      <c r="E50" s="1">
        <v>2009</v>
      </c>
      <c r="F50" s="1" t="s">
        <v>95</v>
      </c>
      <c r="G50" s="1">
        <v>6</v>
      </c>
      <c r="H50" s="1" t="s">
        <v>47</v>
      </c>
      <c r="I50" s="1" t="s">
        <v>51</v>
      </c>
    </row>
    <row r="51" spans="1:9" x14ac:dyDescent="0.3">
      <c r="A51" s="7">
        <v>46265</v>
      </c>
      <c r="B51" s="1" t="s">
        <v>12</v>
      </c>
      <c r="C51" s="1" t="s">
        <v>22</v>
      </c>
      <c r="D51" s="1" t="s">
        <v>96</v>
      </c>
      <c r="E51" s="1" t="s">
        <v>53</v>
      </c>
      <c r="F51" s="1" t="s">
        <v>95</v>
      </c>
      <c r="G51" s="1">
        <v>6</v>
      </c>
      <c r="H51" s="1" t="s">
        <v>47</v>
      </c>
      <c r="I51" s="1" t="s">
        <v>51</v>
      </c>
    </row>
    <row r="52" spans="1:9" x14ac:dyDescent="0.3">
      <c r="A52" s="7">
        <v>46265</v>
      </c>
      <c r="B52" s="1" t="s">
        <v>12</v>
      </c>
      <c r="C52" s="1" t="s">
        <v>22</v>
      </c>
      <c r="D52" s="1" t="s">
        <v>97</v>
      </c>
      <c r="E52" s="1">
        <v>2010</v>
      </c>
      <c r="F52" s="1" t="s">
        <v>95</v>
      </c>
      <c r="G52" s="1">
        <v>12</v>
      </c>
      <c r="H52" s="1" t="s">
        <v>47</v>
      </c>
      <c r="I52" s="1" t="s">
        <v>98</v>
      </c>
    </row>
    <row r="53" spans="1:9" x14ac:dyDescent="0.3">
      <c r="A53" s="7">
        <v>46265</v>
      </c>
      <c r="B53" s="1" t="s">
        <v>12</v>
      </c>
      <c r="C53" s="1" t="s">
        <v>22</v>
      </c>
      <c r="D53" s="1" t="s">
        <v>99</v>
      </c>
      <c r="E53" s="1">
        <v>2006</v>
      </c>
      <c r="F53" s="1" t="s">
        <v>100</v>
      </c>
      <c r="G53" s="1">
        <v>12</v>
      </c>
      <c r="H53" s="1" t="s">
        <v>47</v>
      </c>
      <c r="I53" s="1" t="s">
        <v>101</v>
      </c>
    </row>
    <row r="54" spans="1:9" x14ac:dyDescent="0.3">
      <c r="A54" s="7">
        <v>46265</v>
      </c>
      <c r="B54" s="1" t="s">
        <v>12</v>
      </c>
      <c r="C54" s="1" t="s">
        <v>22</v>
      </c>
      <c r="D54" s="1" t="s">
        <v>102</v>
      </c>
      <c r="E54" s="1">
        <v>1994</v>
      </c>
      <c r="F54" s="1" t="s">
        <v>100</v>
      </c>
      <c r="G54" s="1">
        <v>18</v>
      </c>
      <c r="H54" s="1" t="s">
        <v>47</v>
      </c>
      <c r="I54" s="1" t="s">
        <v>103</v>
      </c>
    </row>
    <row r="55" spans="1:9" x14ac:dyDescent="0.3">
      <c r="A55" s="7">
        <v>46265</v>
      </c>
      <c r="B55" s="1" t="s">
        <v>12</v>
      </c>
      <c r="C55" s="1" t="s">
        <v>22</v>
      </c>
      <c r="D55" s="1" t="s">
        <v>104</v>
      </c>
      <c r="E55" s="1">
        <v>2005</v>
      </c>
      <c r="F55" s="1" t="s">
        <v>100</v>
      </c>
      <c r="G55" s="1">
        <v>18</v>
      </c>
      <c r="H55" s="1" t="s">
        <v>47</v>
      </c>
      <c r="I55" s="1" t="s">
        <v>105</v>
      </c>
    </row>
    <row r="56" spans="1:9" x14ac:dyDescent="0.3">
      <c r="A56" s="7">
        <v>46265</v>
      </c>
      <c r="B56" s="1" t="s">
        <v>12</v>
      </c>
      <c r="C56" s="1" t="s">
        <v>22</v>
      </c>
      <c r="D56" s="1" t="s">
        <v>104</v>
      </c>
      <c r="E56" s="1">
        <v>2006</v>
      </c>
      <c r="F56" s="1" t="s">
        <v>100</v>
      </c>
      <c r="G56" s="1">
        <v>6</v>
      </c>
      <c r="H56" s="1" t="s">
        <v>47</v>
      </c>
      <c r="I56" s="1" t="s">
        <v>105</v>
      </c>
    </row>
    <row r="57" spans="1:9" x14ac:dyDescent="0.3">
      <c r="A57" s="7">
        <v>46265</v>
      </c>
      <c r="B57" s="1" t="s">
        <v>12</v>
      </c>
      <c r="C57" s="1" t="s">
        <v>39</v>
      </c>
      <c r="D57" s="1" t="s">
        <v>106</v>
      </c>
      <c r="E57" s="1">
        <v>2011</v>
      </c>
      <c r="F57" s="1" t="s">
        <v>107</v>
      </c>
      <c r="G57" s="1">
        <v>5</v>
      </c>
      <c r="H57" s="1" t="s">
        <v>47</v>
      </c>
      <c r="I57" s="1" t="s">
        <v>108</v>
      </c>
    </row>
    <row r="58" spans="1:9" x14ac:dyDescent="0.3">
      <c r="A58" s="7">
        <v>46265</v>
      </c>
      <c r="B58" s="1" t="s">
        <v>12</v>
      </c>
      <c r="C58" s="1" t="s">
        <v>39</v>
      </c>
      <c r="D58" s="1" t="s">
        <v>106</v>
      </c>
      <c r="E58" s="1">
        <v>2011</v>
      </c>
      <c r="F58" s="1" t="s">
        <v>107</v>
      </c>
      <c r="G58" s="1">
        <v>6</v>
      </c>
      <c r="H58" s="1" t="s">
        <v>47</v>
      </c>
      <c r="I58" s="1" t="s">
        <v>108</v>
      </c>
    </row>
    <row r="59" spans="1:9" x14ac:dyDescent="0.3">
      <c r="A59" s="7">
        <v>46265</v>
      </c>
      <c r="B59" s="1" t="s">
        <v>12</v>
      </c>
      <c r="C59" s="1" t="s">
        <v>39</v>
      </c>
      <c r="D59" s="1" t="s">
        <v>106</v>
      </c>
      <c r="E59" s="1">
        <v>2011</v>
      </c>
      <c r="F59" s="1" t="s">
        <v>107</v>
      </c>
      <c r="G59" s="1">
        <v>6</v>
      </c>
      <c r="H59" s="1" t="s">
        <v>47</v>
      </c>
      <c r="I59" s="1" t="s">
        <v>108</v>
      </c>
    </row>
    <row r="60" spans="1:9" x14ac:dyDescent="0.3">
      <c r="A60" s="7">
        <v>46265</v>
      </c>
      <c r="B60" s="1" t="s">
        <v>12</v>
      </c>
      <c r="C60" s="1" t="s">
        <v>39</v>
      </c>
      <c r="D60" s="1" t="s">
        <v>106</v>
      </c>
      <c r="E60" s="1">
        <v>2011</v>
      </c>
      <c r="F60" s="1" t="s">
        <v>107</v>
      </c>
      <c r="G60" s="1">
        <v>5</v>
      </c>
      <c r="H60" s="1" t="s">
        <v>47</v>
      </c>
      <c r="I60" s="1" t="s">
        <v>108</v>
      </c>
    </row>
    <row r="61" spans="1:9" x14ac:dyDescent="0.3">
      <c r="A61" s="7">
        <v>46265</v>
      </c>
      <c r="B61" s="1" t="s">
        <v>12</v>
      </c>
      <c r="C61" s="1" t="s">
        <v>22</v>
      </c>
      <c r="D61" s="1" t="s">
        <v>183</v>
      </c>
      <c r="E61" s="1">
        <v>2005</v>
      </c>
      <c r="F61" s="1" t="s">
        <v>107</v>
      </c>
      <c r="G61" s="1">
        <v>5</v>
      </c>
      <c r="H61" s="1" t="s">
        <v>47</v>
      </c>
      <c r="I61" s="1" t="s">
        <v>109</v>
      </c>
    </row>
    <row r="62" spans="1:9" x14ac:dyDescent="0.3">
      <c r="A62" s="7">
        <v>46265</v>
      </c>
      <c r="B62" s="1" t="s">
        <v>12</v>
      </c>
      <c r="C62" s="1" t="s">
        <v>39</v>
      </c>
      <c r="D62" s="1" t="s">
        <v>110</v>
      </c>
      <c r="E62" s="1">
        <v>2010</v>
      </c>
      <c r="F62" s="1" t="s">
        <v>111</v>
      </c>
      <c r="G62" s="1">
        <v>2</v>
      </c>
      <c r="H62" s="1" t="s">
        <v>47</v>
      </c>
      <c r="I62" s="1" t="s">
        <v>112</v>
      </c>
    </row>
    <row r="63" spans="1:9" x14ac:dyDescent="0.3">
      <c r="A63" s="7">
        <v>46265</v>
      </c>
      <c r="B63" s="1" t="s">
        <v>12</v>
      </c>
      <c r="C63" s="1" t="s">
        <v>39</v>
      </c>
      <c r="D63" s="1" t="s">
        <v>110</v>
      </c>
      <c r="E63" s="1">
        <v>2011</v>
      </c>
      <c r="F63" s="1" t="s">
        <v>111</v>
      </c>
      <c r="G63" s="1">
        <v>1</v>
      </c>
      <c r="H63" s="1" t="s">
        <v>47</v>
      </c>
      <c r="I63" s="1" t="s">
        <v>112</v>
      </c>
    </row>
    <row r="64" spans="1:9" x14ac:dyDescent="0.3">
      <c r="A64" s="7">
        <v>46265</v>
      </c>
      <c r="B64" s="1" t="s">
        <v>12</v>
      </c>
      <c r="C64" s="1" t="s">
        <v>39</v>
      </c>
      <c r="D64" s="1" t="s">
        <v>110</v>
      </c>
      <c r="E64" s="1">
        <v>2022</v>
      </c>
      <c r="F64" s="1" t="s">
        <v>111</v>
      </c>
      <c r="G64" s="1">
        <v>2</v>
      </c>
      <c r="H64" s="1" t="s">
        <v>47</v>
      </c>
      <c r="I64" s="1" t="s">
        <v>112</v>
      </c>
    </row>
    <row r="65" spans="1:9" x14ac:dyDescent="0.3">
      <c r="A65" s="7">
        <v>46265</v>
      </c>
      <c r="B65" s="1" t="s">
        <v>12</v>
      </c>
      <c r="C65" s="1" t="s">
        <v>39</v>
      </c>
      <c r="D65" s="1" t="s">
        <v>113</v>
      </c>
      <c r="E65" s="1">
        <v>2010</v>
      </c>
      <c r="F65" s="1" t="s">
        <v>111</v>
      </c>
      <c r="G65" s="1">
        <v>4</v>
      </c>
      <c r="H65" s="1" t="s">
        <v>47</v>
      </c>
      <c r="I65" s="1" t="s">
        <v>114</v>
      </c>
    </row>
    <row r="66" spans="1:9" x14ac:dyDescent="0.3">
      <c r="A66" s="7">
        <v>46265</v>
      </c>
      <c r="B66" s="1" t="s">
        <v>12</v>
      </c>
      <c r="C66" s="1" t="s">
        <v>39</v>
      </c>
      <c r="D66" s="1" t="s">
        <v>113</v>
      </c>
      <c r="E66" s="1">
        <v>2009</v>
      </c>
      <c r="F66" s="1" t="s">
        <v>111</v>
      </c>
      <c r="G66" s="1">
        <v>2</v>
      </c>
      <c r="H66" s="1" t="s">
        <v>47</v>
      </c>
      <c r="I66" s="1" t="s">
        <v>114</v>
      </c>
    </row>
    <row r="67" spans="1:9" x14ac:dyDescent="0.3">
      <c r="A67" s="7">
        <v>46265</v>
      </c>
      <c r="B67" s="1" t="s">
        <v>12</v>
      </c>
      <c r="C67" s="1" t="s">
        <v>39</v>
      </c>
      <c r="D67" s="1" t="s">
        <v>115</v>
      </c>
      <c r="E67" s="1">
        <v>2013</v>
      </c>
      <c r="F67" s="1" t="s">
        <v>111</v>
      </c>
      <c r="G67" s="1">
        <v>6</v>
      </c>
      <c r="H67" s="1" t="s">
        <v>47</v>
      </c>
      <c r="I67" s="1" t="s">
        <v>116</v>
      </c>
    </row>
    <row r="68" spans="1:9" x14ac:dyDescent="0.3">
      <c r="A68" s="7">
        <v>46265</v>
      </c>
      <c r="B68" s="1" t="s">
        <v>12</v>
      </c>
      <c r="C68" s="1" t="s">
        <v>22</v>
      </c>
      <c r="D68" s="1" t="s">
        <v>117</v>
      </c>
      <c r="E68" s="1">
        <v>2009</v>
      </c>
      <c r="F68" s="1" t="s">
        <v>111</v>
      </c>
      <c r="G68" s="1">
        <v>6</v>
      </c>
      <c r="H68" s="1" t="s">
        <v>47</v>
      </c>
      <c r="I68" s="1" t="s">
        <v>118</v>
      </c>
    </row>
    <row r="69" spans="1:9" x14ac:dyDescent="0.3">
      <c r="A69" s="7">
        <v>46265</v>
      </c>
      <c r="B69" s="1" t="s">
        <v>12</v>
      </c>
      <c r="C69" s="1" t="s">
        <v>22</v>
      </c>
      <c r="D69" s="1" t="s">
        <v>119</v>
      </c>
      <c r="E69" s="1">
        <v>2005</v>
      </c>
      <c r="F69" s="1" t="s">
        <v>111</v>
      </c>
      <c r="G69" s="1">
        <v>6</v>
      </c>
      <c r="H69" s="1" t="s">
        <v>47</v>
      </c>
      <c r="I69" s="1" t="s">
        <v>120</v>
      </c>
    </row>
    <row r="70" spans="1:9" x14ac:dyDescent="0.3">
      <c r="A70" s="7">
        <v>46265</v>
      </c>
      <c r="B70" s="1" t="s">
        <v>12</v>
      </c>
      <c r="C70" s="1" t="s">
        <v>39</v>
      </c>
      <c r="D70" s="1" t="s">
        <v>121</v>
      </c>
      <c r="E70" s="1">
        <v>2010</v>
      </c>
      <c r="F70" s="1" t="s">
        <v>111</v>
      </c>
      <c r="G70" s="1">
        <v>6</v>
      </c>
      <c r="H70" s="1" t="s">
        <v>47</v>
      </c>
      <c r="I70" s="1" t="s">
        <v>122</v>
      </c>
    </row>
    <row r="71" spans="1:9" x14ac:dyDescent="0.3">
      <c r="A71" s="7">
        <v>46265</v>
      </c>
      <c r="B71" s="1" t="s">
        <v>12</v>
      </c>
      <c r="C71" s="1" t="s">
        <v>22</v>
      </c>
      <c r="D71" s="1" t="s">
        <v>19</v>
      </c>
      <c r="E71" s="1">
        <v>2005</v>
      </c>
      <c r="F71" s="1" t="s">
        <v>123</v>
      </c>
      <c r="G71" s="1">
        <v>10</v>
      </c>
      <c r="H71" s="1" t="s">
        <v>47</v>
      </c>
      <c r="I71" s="1" t="s">
        <v>124</v>
      </c>
    </row>
    <row r="72" spans="1:9" x14ac:dyDescent="0.3">
      <c r="A72" s="7">
        <v>46265</v>
      </c>
      <c r="B72" s="1" t="s">
        <v>12</v>
      </c>
      <c r="C72" s="1" t="s">
        <v>22</v>
      </c>
      <c r="D72" s="1" t="s">
        <v>125</v>
      </c>
      <c r="E72" s="1">
        <v>2005</v>
      </c>
      <c r="F72" s="1" t="s">
        <v>123</v>
      </c>
      <c r="G72" s="1">
        <v>9</v>
      </c>
      <c r="H72" s="1" t="s">
        <v>47</v>
      </c>
      <c r="I72" s="1" t="s">
        <v>126</v>
      </c>
    </row>
    <row r="73" spans="1:9" x14ac:dyDescent="0.3">
      <c r="A73" s="7">
        <v>46265</v>
      </c>
      <c r="B73" s="1" t="s">
        <v>12</v>
      </c>
      <c r="C73" s="1" t="s">
        <v>22</v>
      </c>
      <c r="D73" s="1" t="s">
        <v>127</v>
      </c>
      <c r="E73" s="1">
        <v>2010</v>
      </c>
      <c r="F73" s="1" t="s">
        <v>123</v>
      </c>
      <c r="G73" s="1">
        <v>6</v>
      </c>
      <c r="H73" s="1" t="s">
        <v>47</v>
      </c>
      <c r="I73" s="1" t="s">
        <v>128</v>
      </c>
    </row>
    <row r="74" spans="1:9" x14ac:dyDescent="0.3">
      <c r="A74" s="7">
        <v>46265</v>
      </c>
      <c r="B74" s="1" t="s">
        <v>12</v>
      </c>
      <c r="C74" s="1" t="s">
        <v>22</v>
      </c>
      <c r="D74" s="1" t="s">
        <v>125</v>
      </c>
      <c r="E74" s="1">
        <v>2003</v>
      </c>
      <c r="F74" s="1" t="s">
        <v>123</v>
      </c>
      <c r="G74" s="1">
        <v>6</v>
      </c>
      <c r="H74" s="1" t="s">
        <v>47</v>
      </c>
      <c r="I74" s="1" t="s">
        <v>126</v>
      </c>
    </row>
    <row r="75" spans="1:9" x14ac:dyDescent="0.3">
      <c r="A75" s="7">
        <v>46265</v>
      </c>
      <c r="B75" s="1" t="s">
        <v>12</v>
      </c>
      <c r="C75" s="1" t="s">
        <v>22</v>
      </c>
      <c r="D75" s="1" t="s">
        <v>129</v>
      </c>
      <c r="E75" s="1">
        <v>2005</v>
      </c>
      <c r="F75" s="1" t="s">
        <v>130</v>
      </c>
      <c r="G75" s="1">
        <v>12</v>
      </c>
      <c r="H75" s="1" t="s">
        <v>47</v>
      </c>
      <c r="I75" s="1" t="s">
        <v>131</v>
      </c>
    </row>
    <row r="76" spans="1:9" x14ac:dyDescent="0.3">
      <c r="A76" s="7">
        <v>46265</v>
      </c>
      <c r="B76" s="1" t="s">
        <v>12</v>
      </c>
      <c r="C76" s="1" t="s">
        <v>22</v>
      </c>
      <c r="D76" s="1" t="s">
        <v>132</v>
      </c>
      <c r="E76" s="1">
        <v>2005</v>
      </c>
      <c r="F76" s="1" t="s">
        <v>130</v>
      </c>
      <c r="G76" s="1">
        <v>6</v>
      </c>
      <c r="H76" s="1" t="s">
        <v>47</v>
      </c>
      <c r="I76" s="1" t="s">
        <v>133</v>
      </c>
    </row>
    <row r="77" spans="1:9" x14ac:dyDescent="0.3">
      <c r="A77" s="7">
        <v>46265</v>
      </c>
      <c r="B77" s="1" t="s">
        <v>12</v>
      </c>
      <c r="C77" s="1" t="s">
        <v>22</v>
      </c>
      <c r="D77" s="1" t="s">
        <v>129</v>
      </c>
      <c r="E77" s="1">
        <v>2005</v>
      </c>
      <c r="F77" s="1" t="s">
        <v>130</v>
      </c>
      <c r="G77" s="1">
        <v>1</v>
      </c>
      <c r="H77" s="1" t="s">
        <v>47</v>
      </c>
      <c r="I77" s="1" t="s">
        <v>131</v>
      </c>
    </row>
    <row r="78" spans="1:9" x14ac:dyDescent="0.3">
      <c r="A78" s="7">
        <v>46265</v>
      </c>
      <c r="B78" s="1" t="s">
        <v>12</v>
      </c>
      <c r="C78" s="1" t="s">
        <v>22</v>
      </c>
      <c r="D78" s="1" t="s">
        <v>129</v>
      </c>
      <c r="E78" s="1">
        <v>2008</v>
      </c>
      <c r="F78" s="1" t="s">
        <v>130</v>
      </c>
      <c r="G78" s="1">
        <v>2</v>
      </c>
      <c r="H78" s="1" t="s">
        <v>47</v>
      </c>
      <c r="I78" s="1" t="s">
        <v>131</v>
      </c>
    </row>
    <row r="79" spans="1:9" x14ac:dyDescent="0.3">
      <c r="A79" s="7">
        <v>46265</v>
      </c>
      <c r="B79" s="1" t="s">
        <v>12</v>
      </c>
      <c r="C79" s="1" t="s">
        <v>22</v>
      </c>
      <c r="D79" s="1" t="s">
        <v>129</v>
      </c>
      <c r="E79" s="1">
        <v>2010</v>
      </c>
      <c r="F79" s="1" t="s">
        <v>130</v>
      </c>
      <c r="G79" s="1">
        <v>3</v>
      </c>
      <c r="H79" s="1" t="s">
        <v>47</v>
      </c>
      <c r="I79" s="1" t="s">
        <v>131</v>
      </c>
    </row>
    <row r="80" spans="1:9" x14ac:dyDescent="0.3">
      <c r="A80" s="7">
        <v>46265</v>
      </c>
      <c r="B80" s="1" t="s">
        <v>12</v>
      </c>
      <c r="C80" s="1" t="s">
        <v>22</v>
      </c>
      <c r="D80" s="1" t="s">
        <v>134</v>
      </c>
      <c r="E80" s="1">
        <v>2000</v>
      </c>
      <c r="F80" s="1" t="s">
        <v>135</v>
      </c>
      <c r="G80" s="1">
        <v>12</v>
      </c>
      <c r="H80" s="1" t="s">
        <v>47</v>
      </c>
      <c r="I80" s="1" t="s">
        <v>70</v>
      </c>
    </row>
    <row r="81" spans="1:9" x14ac:dyDescent="0.3">
      <c r="A81" s="7">
        <v>46265</v>
      </c>
      <c r="B81" s="1" t="s">
        <v>12</v>
      </c>
      <c r="C81" s="1" t="s">
        <v>22</v>
      </c>
      <c r="D81" s="1" t="s">
        <v>134</v>
      </c>
      <c r="E81" s="1">
        <v>2002</v>
      </c>
      <c r="F81" s="1" t="s">
        <v>135</v>
      </c>
      <c r="G81" s="1">
        <v>12</v>
      </c>
      <c r="H81" s="1" t="s">
        <v>47</v>
      </c>
      <c r="I81" s="1" t="s">
        <v>70</v>
      </c>
    </row>
    <row r="82" spans="1:9" x14ac:dyDescent="0.3">
      <c r="A82" s="7">
        <v>46265</v>
      </c>
      <c r="B82" s="1" t="s">
        <v>12</v>
      </c>
      <c r="C82" s="1" t="s">
        <v>22</v>
      </c>
      <c r="D82" s="1" t="s">
        <v>136</v>
      </c>
      <c r="E82" s="1">
        <v>2004</v>
      </c>
      <c r="F82" s="1" t="s">
        <v>135</v>
      </c>
      <c r="G82" s="1">
        <v>3</v>
      </c>
      <c r="H82" s="1" t="s">
        <v>47</v>
      </c>
      <c r="I82" s="1" t="s">
        <v>51</v>
      </c>
    </row>
    <row r="83" spans="1:9" x14ac:dyDescent="0.3">
      <c r="A83" s="7">
        <v>46265</v>
      </c>
      <c r="B83" s="1" t="s">
        <v>12</v>
      </c>
      <c r="C83" s="1" t="s">
        <v>22</v>
      </c>
      <c r="D83" s="1" t="s">
        <v>136</v>
      </c>
      <c r="E83" s="1">
        <v>2003</v>
      </c>
      <c r="F83" s="1" t="s">
        <v>135</v>
      </c>
      <c r="G83" s="1">
        <v>12</v>
      </c>
      <c r="H83" s="1" t="s">
        <v>47</v>
      </c>
      <c r="I83" s="1" t="s">
        <v>51</v>
      </c>
    </row>
    <row r="84" spans="1:9" x14ac:dyDescent="0.3">
      <c r="A84" s="7">
        <v>46265</v>
      </c>
      <c r="B84" s="1" t="s">
        <v>12</v>
      </c>
      <c r="C84" s="1" t="s">
        <v>22</v>
      </c>
      <c r="D84" s="1" t="s">
        <v>357</v>
      </c>
      <c r="E84" s="1">
        <v>2000</v>
      </c>
      <c r="F84" s="1" t="s">
        <v>137</v>
      </c>
      <c r="G84" s="1">
        <v>3</v>
      </c>
      <c r="H84" s="1" t="s">
        <v>47</v>
      </c>
      <c r="I84" s="1" t="s">
        <v>138</v>
      </c>
    </row>
    <row r="85" spans="1:9" x14ac:dyDescent="0.3">
      <c r="A85" s="7">
        <v>46265</v>
      </c>
      <c r="B85" s="1" t="s">
        <v>12</v>
      </c>
      <c r="C85" s="1" t="s">
        <v>22</v>
      </c>
      <c r="D85" s="1" t="s">
        <v>357</v>
      </c>
      <c r="E85" s="1">
        <v>2007</v>
      </c>
      <c r="F85" s="1" t="s">
        <v>137</v>
      </c>
      <c r="G85" s="1">
        <v>3</v>
      </c>
      <c r="H85" s="1" t="s">
        <v>47</v>
      </c>
      <c r="I85" s="1" t="s">
        <v>138</v>
      </c>
    </row>
    <row r="86" spans="1:9" x14ac:dyDescent="0.3">
      <c r="A86" s="7">
        <v>46265</v>
      </c>
      <c r="B86" s="1" t="s">
        <v>12</v>
      </c>
      <c r="C86" s="1" t="s">
        <v>22</v>
      </c>
      <c r="D86" s="1" t="s">
        <v>68</v>
      </c>
      <c r="E86" s="1">
        <v>2000</v>
      </c>
      <c r="F86" s="1" t="s">
        <v>137</v>
      </c>
      <c r="G86" s="1">
        <v>12</v>
      </c>
      <c r="H86" s="1" t="s">
        <v>47</v>
      </c>
      <c r="I86" s="1" t="s">
        <v>70</v>
      </c>
    </row>
    <row r="87" spans="1:9" x14ac:dyDescent="0.3">
      <c r="A87" s="7">
        <v>46265</v>
      </c>
      <c r="B87" s="1" t="s">
        <v>12</v>
      </c>
      <c r="C87" s="1" t="s">
        <v>22</v>
      </c>
      <c r="D87" s="1" t="s">
        <v>68</v>
      </c>
      <c r="E87" s="1">
        <v>2003</v>
      </c>
      <c r="F87" s="1" t="s">
        <v>137</v>
      </c>
      <c r="G87" s="1">
        <v>15</v>
      </c>
      <c r="H87" s="1" t="s">
        <v>47</v>
      </c>
      <c r="I87" s="1" t="s">
        <v>70</v>
      </c>
    </row>
    <row r="88" spans="1:9" x14ac:dyDescent="0.3">
      <c r="A88" s="7">
        <v>46265</v>
      </c>
      <c r="B88" s="1" t="s">
        <v>12</v>
      </c>
      <c r="C88" s="1" t="s">
        <v>22</v>
      </c>
      <c r="D88" s="1" t="s">
        <v>139</v>
      </c>
      <c r="E88" s="1">
        <v>2004</v>
      </c>
      <c r="F88" s="1" t="s">
        <v>137</v>
      </c>
      <c r="G88" s="1">
        <v>3</v>
      </c>
      <c r="H88" s="1" t="s">
        <v>47</v>
      </c>
      <c r="I88" s="1" t="s">
        <v>70</v>
      </c>
    </row>
    <row r="89" spans="1:9" x14ac:dyDescent="0.3">
      <c r="A89" s="7">
        <v>46265</v>
      </c>
      <c r="B89" s="1" t="s">
        <v>12</v>
      </c>
      <c r="C89" s="1" t="s">
        <v>22</v>
      </c>
      <c r="D89" s="1" t="s">
        <v>140</v>
      </c>
      <c r="E89" s="1" t="s">
        <v>53</v>
      </c>
      <c r="F89" s="1" t="s">
        <v>137</v>
      </c>
      <c r="G89" s="1">
        <v>1</v>
      </c>
      <c r="H89" s="1" t="s">
        <v>47</v>
      </c>
      <c r="I89" s="1" t="s">
        <v>70</v>
      </c>
    </row>
    <row r="90" spans="1:9" x14ac:dyDescent="0.3">
      <c r="A90" s="7">
        <v>46265</v>
      </c>
      <c r="B90" s="1" t="s">
        <v>12</v>
      </c>
      <c r="C90" s="1" t="s">
        <v>22</v>
      </c>
      <c r="D90" s="1" t="s">
        <v>141</v>
      </c>
      <c r="E90" s="1">
        <v>2006</v>
      </c>
      <c r="F90" s="1" t="s">
        <v>137</v>
      </c>
      <c r="G90" s="1">
        <v>1</v>
      </c>
      <c r="H90" s="1" t="s">
        <v>47</v>
      </c>
      <c r="I90" s="1" t="s">
        <v>70</v>
      </c>
    </row>
    <row r="91" spans="1:9" x14ac:dyDescent="0.3">
      <c r="A91" s="7">
        <v>46265</v>
      </c>
      <c r="B91" s="1" t="s">
        <v>12</v>
      </c>
      <c r="C91" s="1" t="s">
        <v>22</v>
      </c>
      <c r="D91" s="1" t="s">
        <v>72</v>
      </c>
      <c r="E91" s="1">
        <v>1998</v>
      </c>
      <c r="F91" s="1" t="s">
        <v>137</v>
      </c>
      <c r="G91" s="1">
        <v>1</v>
      </c>
      <c r="H91" s="1" t="s">
        <v>47</v>
      </c>
      <c r="I91" s="1" t="s">
        <v>70</v>
      </c>
    </row>
    <row r="92" spans="1:9" x14ac:dyDescent="0.3">
      <c r="A92" s="7">
        <v>46265</v>
      </c>
      <c r="B92" s="1" t="s">
        <v>12</v>
      </c>
      <c r="C92" s="1" t="s">
        <v>22</v>
      </c>
      <c r="D92" s="1" t="s">
        <v>357</v>
      </c>
      <c r="E92" s="1">
        <v>2005</v>
      </c>
      <c r="F92" s="1" t="s">
        <v>137</v>
      </c>
      <c r="G92" s="1">
        <v>3</v>
      </c>
      <c r="H92" s="1" t="s">
        <v>47</v>
      </c>
      <c r="I92" s="1" t="s">
        <v>138</v>
      </c>
    </row>
    <row r="93" spans="1:9" x14ac:dyDescent="0.3">
      <c r="A93" s="7">
        <v>46265</v>
      </c>
      <c r="B93" s="1" t="s">
        <v>12</v>
      </c>
      <c r="C93" s="1" t="s">
        <v>22</v>
      </c>
      <c r="D93" s="1" t="s">
        <v>142</v>
      </c>
      <c r="E93" s="1">
        <v>2005</v>
      </c>
      <c r="F93" s="1" t="s">
        <v>143</v>
      </c>
      <c r="G93" s="1">
        <v>6</v>
      </c>
      <c r="H93" s="1" t="s">
        <v>47</v>
      </c>
      <c r="I93" s="1" t="s">
        <v>144</v>
      </c>
    </row>
    <row r="94" spans="1:9" x14ac:dyDescent="0.3">
      <c r="A94" s="7">
        <v>46265</v>
      </c>
      <c r="B94" s="1" t="s">
        <v>12</v>
      </c>
      <c r="C94" s="1" t="s">
        <v>22</v>
      </c>
      <c r="D94" s="1" t="s">
        <v>145</v>
      </c>
      <c r="E94" s="1">
        <v>1995</v>
      </c>
      <c r="F94" s="1" t="s">
        <v>143</v>
      </c>
      <c r="G94" s="1">
        <v>5</v>
      </c>
      <c r="H94" s="1" t="s">
        <v>47</v>
      </c>
      <c r="I94" s="1" t="s">
        <v>146</v>
      </c>
    </row>
    <row r="95" spans="1:9" x14ac:dyDescent="0.3">
      <c r="A95" s="7">
        <v>46265</v>
      </c>
      <c r="B95" s="1" t="s">
        <v>12</v>
      </c>
      <c r="C95" s="1" t="s">
        <v>22</v>
      </c>
      <c r="D95" s="1" t="s">
        <v>142</v>
      </c>
      <c r="E95" s="1">
        <v>2003</v>
      </c>
      <c r="F95" s="1" t="s">
        <v>143</v>
      </c>
      <c r="G95" s="1">
        <v>36</v>
      </c>
      <c r="H95" s="1" t="s">
        <v>47</v>
      </c>
      <c r="I95" s="1" t="s">
        <v>144</v>
      </c>
    </row>
    <row r="96" spans="1:9" x14ac:dyDescent="0.3">
      <c r="A96" s="7">
        <v>46265</v>
      </c>
      <c r="B96" s="1" t="s">
        <v>12</v>
      </c>
      <c r="C96" s="1" t="s">
        <v>39</v>
      </c>
      <c r="D96" s="1" t="s">
        <v>353</v>
      </c>
      <c r="E96" s="1">
        <v>2013</v>
      </c>
      <c r="F96" s="1" t="s">
        <v>143</v>
      </c>
      <c r="G96" s="1">
        <v>1</v>
      </c>
      <c r="H96" s="1" t="s">
        <v>47</v>
      </c>
      <c r="I96" s="1" t="s">
        <v>147</v>
      </c>
    </row>
    <row r="97" spans="1:9" x14ac:dyDescent="0.3">
      <c r="A97" s="7">
        <v>46265</v>
      </c>
      <c r="B97" s="1" t="s">
        <v>12</v>
      </c>
      <c r="C97" s="1" t="s">
        <v>39</v>
      </c>
      <c r="D97" s="1" t="s">
        <v>351</v>
      </c>
      <c r="E97" s="1">
        <v>2010</v>
      </c>
      <c r="F97" s="1" t="s">
        <v>143</v>
      </c>
      <c r="G97" s="1">
        <v>2</v>
      </c>
      <c r="H97" s="1" t="s">
        <v>47</v>
      </c>
      <c r="I97" s="1" t="s">
        <v>148</v>
      </c>
    </row>
    <row r="98" spans="1:9" x14ac:dyDescent="0.3">
      <c r="A98" s="7">
        <v>46265</v>
      </c>
      <c r="B98" s="1" t="s">
        <v>12</v>
      </c>
      <c r="C98" s="1" t="s">
        <v>22</v>
      </c>
      <c r="D98" s="1" t="s">
        <v>149</v>
      </c>
      <c r="E98" s="1">
        <v>2020</v>
      </c>
      <c r="F98" s="1" t="s">
        <v>143</v>
      </c>
      <c r="G98" s="1">
        <v>2</v>
      </c>
      <c r="H98" s="1" t="s">
        <v>47</v>
      </c>
      <c r="I98" s="1" t="s">
        <v>150</v>
      </c>
    </row>
    <row r="99" spans="1:9" x14ac:dyDescent="0.3">
      <c r="A99" s="7">
        <v>46265</v>
      </c>
      <c r="B99" s="1" t="s">
        <v>12</v>
      </c>
      <c r="C99" s="1" t="s">
        <v>22</v>
      </c>
      <c r="D99" s="1" t="s">
        <v>151</v>
      </c>
      <c r="E99" s="1">
        <v>2019</v>
      </c>
      <c r="F99" s="1" t="s">
        <v>143</v>
      </c>
      <c r="G99" s="1">
        <v>1</v>
      </c>
      <c r="H99" s="1" t="s">
        <v>47</v>
      </c>
      <c r="I99" s="1" t="s">
        <v>51</v>
      </c>
    </row>
    <row r="100" spans="1:9" x14ac:dyDescent="0.3">
      <c r="A100" s="7">
        <v>46265</v>
      </c>
      <c r="B100" s="1" t="s">
        <v>12</v>
      </c>
      <c r="C100" s="1" t="s">
        <v>22</v>
      </c>
      <c r="D100" s="1" t="s">
        <v>152</v>
      </c>
      <c r="E100" s="1">
        <v>2017</v>
      </c>
      <c r="F100" s="1" t="s">
        <v>143</v>
      </c>
      <c r="G100" s="1">
        <v>2</v>
      </c>
      <c r="H100" s="1" t="s">
        <v>47</v>
      </c>
      <c r="I100" s="1" t="s">
        <v>153</v>
      </c>
    </row>
    <row r="101" spans="1:9" x14ac:dyDescent="0.3">
      <c r="A101" s="7">
        <v>46265</v>
      </c>
      <c r="B101" s="1" t="s">
        <v>12</v>
      </c>
      <c r="C101" s="1" t="s">
        <v>22</v>
      </c>
      <c r="D101" s="1" t="s">
        <v>151</v>
      </c>
      <c r="E101" s="1">
        <v>2019</v>
      </c>
      <c r="F101" s="1" t="s">
        <v>143</v>
      </c>
      <c r="G101" s="1">
        <v>1</v>
      </c>
      <c r="H101" s="1" t="s">
        <v>47</v>
      </c>
      <c r="I101" s="1" t="s">
        <v>51</v>
      </c>
    </row>
    <row r="102" spans="1:9" x14ac:dyDescent="0.3">
      <c r="A102" s="7">
        <v>46265</v>
      </c>
      <c r="B102" s="1" t="s">
        <v>12</v>
      </c>
      <c r="C102" s="1" t="s">
        <v>22</v>
      </c>
      <c r="D102" s="1" t="s">
        <v>154</v>
      </c>
      <c r="E102" s="1">
        <v>2020</v>
      </c>
      <c r="F102" s="1" t="s">
        <v>143</v>
      </c>
      <c r="G102" s="1">
        <v>1</v>
      </c>
      <c r="H102" s="1" t="s">
        <v>47</v>
      </c>
      <c r="I102" s="1" t="s">
        <v>51</v>
      </c>
    </row>
    <row r="103" spans="1:9" x14ac:dyDescent="0.3">
      <c r="A103" s="7">
        <v>46265</v>
      </c>
      <c r="B103" s="1" t="s">
        <v>12</v>
      </c>
      <c r="C103" s="1" t="s">
        <v>22</v>
      </c>
      <c r="D103" s="1" t="s">
        <v>155</v>
      </c>
      <c r="E103" s="1">
        <v>2020</v>
      </c>
      <c r="F103" s="1" t="s">
        <v>143</v>
      </c>
      <c r="G103" s="1">
        <v>2</v>
      </c>
      <c r="H103" s="1" t="s">
        <v>47</v>
      </c>
      <c r="I103" s="1" t="s">
        <v>156</v>
      </c>
    </row>
    <row r="104" spans="1:9" x14ac:dyDescent="0.3">
      <c r="A104" s="7">
        <v>46265</v>
      </c>
      <c r="B104" s="1" t="s">
        <v>12</v>
      </c>
      <c r="C104" s="1" t="s">
        <v>157</v>
      </c>
      <c r="D104" s="1" t="s">
        <v>158</v>
      </c>
      <c r="E104" s="1">
        <v>1964</v>
      </c>
      <c r="F104" s="1" t="s">
        <v>159</v>
      </c>
      <c r="G104" s="1">
        <v>6</v>
      </c>
      <c r="H104" s="1" t="s">
        <v>47</v>
      </c>
      <c r="I104" s="1" t="s">
        <v>160</v>
      </c>
    </row>
    <row r="105" spans="1:9" x14ac:dyDescent="0.3">
      <c r="A105" s="7">
        <v>46265</v>
      </c>
      <c r="B105" s="1" t="s">
        <v>12</v>
      </c>
      <c r="C105" s="1" t="s">
        <v>157</v>
      </c>
      <c r="D105" s="1" t="s">
        <v>158</v>
      </c>
      <c r="E105" s="1">
        <v>1966</v>
      </c>
      <c r="F105" s="1" t="s">
        <v>159</v>
      </c>
      <c r="G105" s="1">
        <v>6</v>
      </c>
      <c r="H105" s="1" t="s">
        <v>47</v>
      </c>
      <c r="I105" s="1" t="s">
        <v>160</v>
      </c>
    </row>
    <row r="106" spans="1:9" x14ac:dyDescent="0.3">
      <c r="A106" s="7">
        <v>46265</v>
      </c>
      <c r="B106" s="1" t="s">
        <v>12</v>
      </c>
      <c r="C106" s="1" t="s">
        <v>22</v>
      </c>
      <c r="D106" s="1" t="s">
        <v>356</v>
      </c>
      <c r="E106" s="1">
        <v>2000</v>
      </c>
      <c r="F106" s="1" t="s">
        <v>159</v>
      </c>
      <c r="G106" s="1">
        <v>21</v>
      </c>
      <c r="H106" s="1" t="s">
        <v>47</v>
      </c>
      <c r="I106" s="1" t="s">
        <v>161</v>
      </c>
    </row>
    <row r="107" spans="1:9" x14ac:dyDescent="0.3">
      <c r="A107" s="7">
        <v>46265</v>
      </c>
      <c r="B107" s="1" t="s">
        <v>12</v>
      </c>
      <c r="C107" s="1" t="s">
        <v>43</v>
      </c>
      <c r="D107" s="1" t="s">
        <v>162</v>
      </c>
      <c r="E107" s="1">
        <v>2015</v>
      </c>
      <c r="F107" s="1" t="s">
        <v>163</v>
      </c>
      <c r="G107" s="1">
        <v>1</v>
      </c>
      <c r="H107" s="1" t="s">
        <v>47</v>
      </c>
      <c r="I107" s="1" t="s">
        <v>164</v>
      </c>
    </row>
    <row r="108" spans="1:9" x14ac:dyDescent="0.3">
      <c r="A108" s="7">
        <v>46265</v>
      </c>
      <c r="B108" s="1" t="s">
        <v>12</v>
      </c>
      <c r="C108" s="1" t="s">
        <v>43</v>
      </c>
      <c r="D108" s="1" t="s">
        <v>165</v>
      </c>
      <c r="E108" s="1">
        <v>2014</v>
      </c>
      <c r="F108" s="1" t="s">
        <v>163</v>
      </c>
      <c r="G108" s="1">
        <v>5</v>
      </c>
      <c r="H108" s="1" t="s">
        <v>47</v>
      </c>
    </row>
    <row r="109" spans="1:9" x14ac:dyDescent="0.3">
      <c r="A109" s="7">
        <v>46265</v>
      </c>
      <c r="B109" s="1" t="s">
        <v>12</v>
      </c>
      <c r="C109" s="1" t="s">
        <v>43</v>
      </c>
      <c r="D109" s="1" t="s">
        <v>165</v>
      </c>
      <c r="E109" s="1">
        <v>2006</v>
      </c>
      <c r="F109" s="1" t="s">
        <v>163</v>
      </c>
      <c r="G109" s="1">
        <v>6</v>
      </c>
      <c r="H109" s="1" t="s">
        <v>47</v>
      </c>
    </row>
    <row r="110" spans="1:9" x14ac:dyDescent="0.3">
      <c r="A110" s="7">
        <v>46265</v>
      </c>
      <c r="B110" s="1" t="s">
        <v>12</v>
      </c>
      <c r="C110" s="1" t="s">
        <v>43</v>
      </c>
      <c r="D110" s="1" t="s">
        <v>165</v>
      </c>
      <c r="E110" s="1">
        <v>2010</v>
      </c>
      <c r="F110" s="1" t="s">
        <v>163</v>
      </c>
      <c r="G110" s="1">
        <v>6</v>
      </c>
      <c r="H110" s="1" t="s">
        <v>47</v>
      </c>
    </row>
    <row r="111" spans="1:9" x14ac:dyDescent="0.3">
      <c r="A111" s="7">
        <v>46265</v>
      </c>
      <c r="B111" s="1" t="s">
        <v>12</v>
      </c>
      <c r="C111" s="1" t="s">
        <v>43</v>
      </c>
      <c r="D111" s="1" t="s">
        <v>165</v>
      </c>
      <c r="E111" s="1">
        <v>2006</v>
      </c>
      <c r="F111" s="1" t="s">
        <v>163</v>
      </c>
      <c r="G111" s="1">
        <v>5</v>
      </c>
      <c r="H111" s="1" t="s">
        <v>47</v>
      </c>
    </row>
    <row r="112" spans="1:9" x14ac:dyDescent="0.3">
      <c r="A112" s="7">
        <v>46265</v>
      </c>
      <c r="B112" s="1" t="s">
        <v>12</v>
      </c>
      <c r="C112" s="1" t="s">
        <v>43</v>
      </c>
      <c r="D112" s="1" t="s">
        <v>165</v>
      </c>
      <c r="E112" s="1">
        <v>2010</v>
      </c>
      <c r="F112" s="1" t="s">
        <v>163</v>
      </c>
      <c r="G112" s="1">
        <v>6</v>
      </c>
      <c r="H112" s="1" t="s">
        <v>47</v>
      </c>
    </row>
    <row r="113" spans="1:9" x14ac:dyDescent="0.3">
      <c r="A113" s="7">
        <v>46265</v>
      </c>
      <c r="B113" s="1" t="s">
        <v>12</v>
      </c>
      <c r="C113" s="1" t="s">
        <v>43</v>
      </c>
      <c r="D113" s="1" t="s">
        <v>166</v>
      </c>
      <c r="E113" s="1">
        <v>2001</v>
      </c>
      <c r="F113" s="1" t="s">
        <v>163</v>
      </c>
      <c r="G113" s="1">
        <v>6</v>
      </c>
      <c r="H113" s="1" t="s">
        <v>47</v>
      </c>
      <c r="I113" s="1" t="s">
        <v>167</v>
      </c>
    </row>
    <row r="114" spans="1:9" x14ac:dyDescent="0.3">
      <c r="A114" s="7">
        <v>46265</v>
      </c>
      <c r="B114" s="1" t="s">
        <v>12</v>
      </c>
      <c r="C114" s="1" t="s">
        <v>43</v>
      </c>
      <c r="D114" s="1" t="s">
        <v>168</v>
      </c>
      <c r="E114" s="1">
        <v>2010</v>
      </c>
      <c r="F114" s="1" t="s">
        <v>163</v>
      </c>
      <c r="G114" s="1">
        <v>6</v>
      </c>
      <c r="H114" s="1" t="s">
        <v>47</v>
      </c>
      <c r="I114" s="1" t="s">
        <v>169</v>
      </c>
    </row>
    <row r="115" spans="1:9" x14ac:dyDescent="0.3">
      <c r="A115" s="7">
        <v>46265</v>
      </c>
      <c r="B115" s="1" t="s">
        <v>12</v>
      </c>
      <c r="C115" s="1" t="s">
        <v>43</v>
      </c>
      <c r="D115" s="1" t="s">
        <v>170</v>
      </c>
      <c r="E115" s="1" t="s">
        <v>53</v>
      </c>
      <c r="F115" s="1" t="s">
        <v>171</v>
      </c>
      <c r="G115" s="1">
        <v>12</v>
      </c>
      <c r="H115" s="1" t="s">
        <v>47</v>
      </c>
      <c r="I115" s="1" t="s">
        <v>172</v>
      </c>
    </row>
    <row r="116" spans="1:9" x14ac:dyDescent="0.3">
      <c r="A116" s="7">
        <v>46265</v>
      </c>
      <c r="B116" s="1" t="s">
        <v>12</v>
      </c>
      <c r="C116" s="1" t="s">
        <v>43</v>
      </c>
      <c r="D116" s="1" t="s">
        <v>173</v>
      </c>
      <c r="E116" s="1">
        <v>2009</v>
      </c>
      <c r="F116" s="1" t="s">
        <v>171</v>
      </c>
      <c r="G116" s="1">
        <v>6</v>
      </c>
      <c r="H116" s="1" t="s">
        <v>47</v>
      </c>
      <c r="I116" s="1" t="s">
        <v>174</v>
      </c>
    </row>
    <row r="117" spans="1:9" x14ac:dyDescent="0.3">
      <c r="A117" s="7">
        <v>46265</v>
      </c>
      <c r="B117" s="1" t="s">
        <v>12</v>
      </c>
      <c r="C117" s="1" t="s">
        <v>43</v>
      </c>
      <c r="D117" s="1" t="s">
        <v>175</v>
      </c>
      <c r="E117" s="1">
        <v>2011</v>
      </c>
      <c r="F117" s="1" t="s">
        <v>171</v>
      </c>
      <c r="G117" s="1">
        <v>6</v>
      </c>
      <c r="H117" s="1" t="s">
        <v>47</v>
      </c>
      <c r="I117" s="1" t="s">
        <v>174</v>
      </c>
    </row>
    <row r="118" spans="1:9" x14ac:dyDescent="0.3">
      <c r="A118" s="7">
        <v>46265</v>
      </c>
      <c r="B118" s="1" t="s">
        <v>12</v>
      </c>
      <c r="C118" s="1" t="s">
        <v>43</v>
      </c>
      <c r="D118" s="1" t="s">
        <v>173</v>
      </c>
      <c r="E118" s="1">
        <v>2010</v>
      </c>
      <c r="F118" s="1" t="s">
        <v>171</v>
      </c>
      <c r="G118" s="1">
        <v>6</v>
      </c>
      <c r="H118" s="1" t="s">
        <v>47</v>
      </c>
      <c r="I118" s="1" t="s">
        <v>174</v>
      </c>
    </row>
    <row r="119" spans="1:9" x14ac:dyDescent="0.3">
      <c r="A119" s="7">
        <v>46265</v>
      </c>
      <c r="B119" s="1" t="s">
        <v>12</v>
      </c>
      <c r="C119" s="1" t="s">
        <v>43</v>
      </c>
      <c r="D119" s="1" t="s">
        <v>176</v>
      </c>
      <c r="E119" s="1">
        <v>2014</v>
      </c>
      <c r="F119" s="1" t="s">
        <v>177</v>
      </c>
      <c r="G119" s="1">
        <v>6</v>
      </c>
      <c r="H119" s="1" t="s">
        <v>47</v>
      </c>
    </row>
    <row r="120" spans="1:9" x14ac:dyDescent="0.3">
      <c r="A120" s="7">
        <v>46265</v>
      </c>
      <c r="B120" s="1" t="s">
        <v>12</v>
      </c>
      <c r="C120" s="1" t="s">
        <v>22</v>
      </c>
      <c r="D120" s="1" t="s">
        <v>178</v>
      </c>
      <c r="E120" s="1">
        <v>1999</v>
      </c>
      <c r="F120" s="1" t="s">
        <v>177</v>
      </c>
      <c r="G120" s="1">
        <v>6</v>
      </c>
      <c r="H120" s="1" t="s">
        <v>47</v>
      </c>
      <c r="I120" s="1" t="s">
        <v>179</v>
      </c>
    </row>
    <row r="121" spans="1:9" x14ac:dyDescent="0.3">
      <c r="A121" s="7">
        <v>46265</v>
      </c>
      <c r="B121" s="1" t="s">
        <v>12</v>
      </c>
      <c r="C121" s="1" t="s">
        <v>22</v>
      </c>
      <c r="D121" s="1" t="s">
        <v>180</v>
      </c>
      <c r="E121" s="1">
        <v>2006</v>
      </c>
      <c r="F121" s="1" t="s">
        <v>177</v>
      </c>
      <c r="G121" s="1">
        <v>1</v>
      </c>
      <c r="H121" s="1" t="s">
        <v>47</v>
      </c>
      <c r="I121" s="1" t="s">
        <v>181</v>
      </c>
    </row>
    <row r="122" spans="1:9" x14ac:dyDescent="0.3">
      <c r="A122" s="7">
        <v>46265</v>
      </c>
      <c r="B122" s="1" t="s">
        <v>12</v>
      </c>
      <c r="C122" s="1" t="s">
        <v>22</v>
      </c>
      <c r="D122" s="1" t="s">
        <v>180</v>
      </c>
      <c r="E122" s="1">
        <v>2008</v>
      </c>
      <c r="F122" s="1" t="s">
        <v>177</v>
      </c>
      <c r="G122" s="1">
        <v>1</v>
      </c>
      <c r="H122" s="1" t="s">
        <v>47</v>
      </c>
      <c r="I122" s="1" t="s">
        <v>181</v>
      </c>
    </row>
    <row r="123" spans="1:9" x14ac:dyDescent="0.3">
      <c r="A123" s="7">
        <v>46265</v>
      </c>
      <c r="B123" s="1" t="s">
        <v>12</v>
      </c>
      <c r="C123" s="1" t="s">
        <v>22</v>
      </c>
      <c r="D123" s="1" t="s">
        <v>119</v>
      </c>
      <c r="E123" s="1">
        <v>2004</v>
      </c>
      <c r="F123" s="1" t="s">
        <v>177</v>
      </c>
      <c r="G123" s="1">
        <v>1</v>
      </c>
      <c r="H123" s="1" t="s">
        <v>47</v>
      </c>
      <c r="I123" s="1" t="s">
        <v>120</v>
      </c>
    </row>
    <row r="124" spans="1:9" x14ac:dyDescent="0.3">
      <c r="A124" s="7">
        <v>46265</v>
      </c>
      <c r="B124" s="1" t="s">
        <v>12</v>
      </c>
      <c r="C124" s="1" t="s">
        <v>22</v>
      </c>
      <c r="D124" s="1" t="s">
        <v>296</v>
      </c>
      <c r="E124" s="1">
        <v>2006</v>
      </c>
      <c r="F124" s="1" t="s">
        <v>177</v>
      </c>
      <c r="G124" s="1">
        <v>3</v>
      </c>
      <c r="H124" s="1" t="s">
        <v>47</v>
      </c>
      <c r="I124" s="1" t="s">
        <v>182</v>
      </c>
    </row>
    <row r="125" spans="1:9" x14ac:dyDescent="0.3">
      <c r="A125" s="7">
        <v>46265</v>
      </c>
      <c r="B125" s="1" t="s">
        <v>12</v>
      </c>
      <c r="C125" s="1" t="s">
        <v>22</v>
      </c>
      <c r="D125" s="1" t="s">
        <v>183</v>
      </c>
      <c r="E125" s="1">
        <v>1996</v>
      </c>
      <c r="F125" s="1" t="s">
        <v>177</v>
      </c>
      <c r="G125" s="1">
        <v>3</v>
      </c>
      <c r="H125" s="1" t="s">
        <v>47</v>
      </c>
      <c r="I125" s="1" t="s">
        <v>109</v>
      </c>
    </row>
    <row r="126" spans="1:9" x14ac:dyDescent="0.3">
      <c r="A126" s="7">
        <v>46265</v>
      </c>
      <c r="B126" s="1" t="s">
        <v>12</v>
      </c>
      <c r="C126" s="1" t="s">
        <v>22</v>
      </c>
      <c r="D126" s="1" t="s">
        <v>183</v>
      </c>
      <c r="E126" s="1">
        <v>2002</v>
      </c>
      <c r="F126" s="1" t="s">
        <v>177</v>
      </c>
      <c r="G126" s="1">
        <v>1</v>
      </c>
      <c r="H126" s="1" t="s">
        <v>47</v>
      </c>
      <c r="I126" s="1" t="s">
        <v>109</v>
      </c>
    </row>
    <row r="127" spans="1:9" x14ac:dyDescent="0.3">
      <c r="A127" s="7">
        <v>46265</v>
      </c>
      <c r="B127" s="1" t="s">
        <v>12</v>
      </c>
      <c r="C127" s="1" t="s">
        <v>22</v>
      </c>
      <c r="D127" s="1" t="s">
        <v>102</v>
      </c>
      <c r="E127" s="1">
        <v>2003</v>
      </c>
      <c r="F127" s="1" t="s">
        <v>177</v>
      </c>
      <c r="G127" s="1">
        <v>5</v>
      </c>
      <c r="H127" s="1" t="s">
        <v>47</v>
      </c>
      <c r="I127" s="1" t="s">
        <v>103</v>
      </c>
    </row>
    <row r="128" spans="1:9" x14ac:dyDescent="0.3">
      <c r="A128" s="7">
        <v>46265</v>
      </c>
      <c r="B128" s="1" t="s">
        <v>12</v>
      </c>
      <c r="C128" s="1" t="s">
        <v>22</v>
      </c>
      <c r="D128" s="1" t="s">
        <v>184</v>
      </c>
      <c r="E128" s="1">
        <v>2005</v>
      </c>
      <c r="F128" s="1" t="s">
        <v>177</v>
      </c>
      <c r="G128" s="1">
        <v>1</v>
      </c>
      <c r="H128" s="1" t="s">
        <v>47</v>
      </c>
      <c r="I128" s="1" t="s">
        <v>185</v>
      </c>
    </row>
    <row r="129" spans="1:9" x14ac:dyDescent="0.3">
      <c r="A129" s="7">
        <v>46265</v>
      </c>
      <c r="B129" s="1" t="s">
        <v>12</v>
      </c>
      <c r="C129" s="1" t="s">
        <v>22</v>
      </c>
      <c r="D129" s="1" t="s">
        <v>186</v>
      </c>
      <c r="E129" s="1">
        <v>2006</v>
      </c>
      <c r="F129" s="1" t="s">
        <v>177</v>
      </c>
      <c r="G129" s="1">
        <v>1</v>
      </c>
      <c r="H129" s="1" t="s">
        <v>47</v>
      </c>
      <c r="I129" s="1" t="s">
        <v>187</v>
      </c>
    </row>
    <row r="130" spans="1:9" x14ac:dyDescent="0.3">
      <c r="A130" s="7">
        <v>46265</v>
      </c>
      <c r="B130" s="1" t="s">
        <v>12</v>
      </c>
      <c r="C130" s="1" t="s">
        <v>22</v>
      </c>
      <c r="D130" s="1" t="s">
        <v>188</v>
      </c>
      <c r="E130" s="1">
        <v>2003</v>
      </c>
      <c r="F130" s="1" t="s">
        <v>177</v>
      </c>
      <c r="G130" s="1">
        <v>8</v>
      </c>
      <c r="H130" s="1" t="s">
        <v>47</v>
      </c>
      <c r="I130" s="1" t="s">
        <v>189</v>
      </c>
    </row>
    <row r="131" spans="1:9" x14ac:dyDescent="0.3">
      <c r="A131" s="7">
        <v>46265</v>
      </c>
      <c r="B131" s="1" t="s">
        <v>12</v>
      </c>
      <c r="C131" s="1" t="s">
        <v>43</v>
      </c>
      <c r="D131" s="1" t="s">
        <v>166</v>
      </c>
      <c r="E131" s="1">
        <v>1997</v>
      </c>
      <c r="F131" s="1" t="s">
        <v>177</v>
      </c>
      <c r="G131" s="1">
        <v>6</v>
      </c>
      <c r="H131" s="1" t="s">
        <v>47</v>
      </c>
      <c r="I131" s="1" t="s">
        <v>167</v>
      </c>
    </row>
    <row r="132" spans="1:9" x14ac:dyDescent="0.3">
      <c r="A132" s="7">
        <v>46265</v>
      </c>
      <c r="B132" s="1" t="s">
        <v>12</v>
      </c>
      <c r="C132" s="1" t="s">
        <v>43</v>
      </c>
      <c r="D132" s="1" t="s">
        <v>166</v>
      </c>
      <c r="E132" s="1">
        <v>2004</v>
      </c>
      <c r="F132" s="1" t="s">
        <v>177</v>
      </c>
      <c r="G132" s="1">
        <v>2</v>
      </c>
      <c r="H132" s="1" t="s">
        <v>47</v>
      </c>
      <c r="I132" s="1" t="s">
        <v>167</v>
      </c>
    </row>
    <row r="133" spans="1:9" x14ac:dyDescent="0.3">
      <c r="A133" s="7">
        <v>46265</v>
      </c>
      <c r="B133" s="1" t="s">
        <v>12</v>
      </c>
      <c r="C133" s="1" t="s">
        <v>43</v>
      </c>
      <c r="D133" s="1" t="s">
        <v>166</v>
      </c>
      <c r="E133" s="1">
        <v>2011</v>
      </c>
      <c r="F133" s="1" t="s">
        <v>177</v>
      </c>
      <c r="G133" s="1">
        <v>2</v>
      </c>
      <c r="H133" s="1" t="s">
        <v>47</v>
      </c>
      <c r="I133" s="1" t="s">
        <v>167</v>
      </c>
    </row>
    <row r="134" spans="1:9" x14ac:dyDescent="0.3">
      <c r="A134" s="7">
        <v>46265</v>
      </c>
      <c r="B134" s="1" t="s">
        <v>12</v>
      </c>
      <c r="C134" s="1" t="s">
        <v>43</v>
      </c>
      <c r="D134" s="1" t="s">
        <v>166</v>
      </c>
      <c r="E134" s="1">
        <v>2013</v>
      </c>
      <c r="F134" s="1" t="s">
        <v>177</v>
      </c>
      <c r="G134" s="1">
        <v>2</v>
      </c>
      <c r="H134" s="1" t="s">
        <v>47</v>
      </c>
      <c r="I134" s="1" t="s">
        <v>167</v>
      </c>
    </row>
    <row r="135" spans="1:9" x14ac:dyDescent="0.3">
      <c r="A135" s="7">
        <v>46265</v>
      </c>
      <c r="B135" s="1" t="s">
        <v>12</v>
      </c>
      <c r="C135" s="1" t="s">
        <v>22</v>
      </c>
      <c r="D135" s="1" t="s">
        <v>190</v>
      </c>
      <c r="E135" s="1">
        <v>2017</v>
      </c>
      <c r="F135" s="1" t="s">
        <v>177</v>
      </c>
      <c r="G135" s="1">
        <v>6</v>
      </c>
      <c r="H135" s="1" t="s">
        <v>47</v>
      </c>
      <c r="I135" s="1" t="s">
        <v>191</v>
      </c>
    </row>
    <row r="136" spans="1:9" x14ac:dyDescent="0.3">
      <c r="A136" s="7">
        <v>46265</v>
      </c>
      <c r="B136" s="1" t="s">
        <v>12</v>
      </c>
      <c r="C136" s="1" t="s">
        <v>22</v>
      </c>
      <c r="D136" s="1" t="s">
        <v>192</v>
      </c>
      <c r="E136" s="1">
        <v>2005</v>
      </c>
      <c r="F136" s="1" t="s">
        <v>193</v>
      </c>
      <c r="G136" s="1">
        <v>6</v>
      </c>
      <c r="H136" s="1" t="s">
        <v>47</v>
      </c>
      <c r="I136" s="1" t="s">
        <v>194</v>
      </c>
    </row>
    <row r="137" spans="1:9" x14ac:dyDescent="0.3">
      <c r="A137" s="7">
        <v>46265</v>
      </c>
      <c r="B137" s="1" t="s">
        <v>12</v>
      </c>
      <c r="C137" s="1" t="s">
        <v>22</v>
      </c>
      <c r="D137" s="1" t="s">
        <v>99</v>
      </c>
      <c r="E137" s="1">
        <v>2006</v>
      </c>
      <c r="F137" s="1" t="s">
        <v>193</v>
      </c>
      <c r="G137" s="1">
        <v>12</v>
      </c>
      <c r="H137" s="1" t="s">
        <v>47</v>
      </c>
      <c r="I137" s="1" t="s">
        <v>101</v>
      </c>
    </row>
    <row r="138" spans="1:9" x14ac:dyDescent="0.3">
      <c r="A138" s="7">
        <v>46265</v>
      </c>
      <c r="B138" s="1" t="s">
        <v>12</v>
      </c>
      <c r="C138" s="1" t="s">
        <v>22</v>
      </c>
      <c r="D138" s="1" t="s">
        <v>195</v>
      </c>
      <c r="E138" s="1">
        <v>2007</v>
      </c>
      <c r="F138" s="1" t="s">
        <v>193</v>
      </c>
      <c r="G138" s="1">
        <v>6</v>
      </c>
      <c r="H138" s="1" t="s">
        <v>47</v>
      </c>
      <c r="I138" s="1" t="s">
        <v>196</v>
      </c>
    </row>
    <row r="139" spans="1:9" x14ac:dyDescent="0.3">
      <c r="A139" s="7">
        <v>46265</v>
      </c>
      <c r="B139" s="1" t="s">
        <v>12</v>
      </c>
      <c r="C139" s="1" t="s">
        <v>22</v>
      </c>
      <c r="D139" s="1" t="s">
        <v>197</v>
      </c>
      <c r="E139" s="1">
        <v>2004</v>
      </c>
      <c r="F139" s="1" t="s">
        <v>193</v>
      </c>
      <c r="G139" s="1">
        <v>12</v>
      </c>
      <c r="H139" s="1" t="s">
        <v>47</v>
      </c>
      <c r="I139" s="1" t="s">
        <v>198</v>
      </c>
    </row>
    <row r="140" spans="1:9" x14ac:dyDescent="0.3">
      <c r="A140" s="7">
        <v>46265</v>
      </c>
      <c r="B140" s="1" t="s">
        <v>12</v>
      </c>
      <c r="C140" s="1" t="s">
        <v>22</v>
      </c>
      <c r="D140" s="1" t="s">
        <v>199</v>
      </c>
      <c r="E140" s="1">
        <v>2010</v>
      </c>
      <c r="F140" s="1" t="s">
        <v>193</v>
      </c>
      <c r="G140" s="1">
        <v>6</v>
      </c>
      <c r="H140" s="1" t="s">
        <v>47</v>
      </c>
      <c r="I140" s="1" t="s">
        <v>200</v>
      </c>
    </row>
    <row r="141" spans="1:9" x14ac:dyDescent="0.3">
      <c r="A141" s="7">
        <v>46265</v>
      </c>
      <c r="B141" s="1" t="s">
        <v>12</v>
      </c>
      <c r="C141" s="1" t="s">
        <v>22</v>
      </c>
      <c r="D141" s="1" t="s">
        <v>184</v>
      </c>
      <c r="E141" s="1">
        <v>2006</v>
      </c>
      <c r="F141" s="1" t="s">
        <v>193</v>
      </c>
      <c r="G141" s="1">
        <v>6</v>
      </c>
      <c r="H141" s="1" t="s">
        <v>47</v>
      </c>
      <c r="I141" s="1" t="s">
        <v>185</v>
      </c>
    </row>
    <row r="142" spans="1:9" x14ac:dyDescent="0.3">
      <c r="A142" s="7">
        <v>46265</v>
      </c>
      <c r="B142" s="1" t="s">
        <v>12</v>
      </c>
      <c r="C142" s="1" t="s">
        <v>22</v>
      </c>
      <c r="D142" s="1" t="s">
        <v>199</v>
      </c>
      <c r="E142" s="1">
        <v>2009</v>
      </c>
      <c r="F142" s="1" t="s">
        <v>193</v>
      </c>
      <c r="G142" s="1">
        <v>6</v>
      </c>
      <c r="H142" s="1" t="s">
        <v>47</v>
      </c>
      <c r="I142" s="1" t="s">
        <v>200</v>
      </c>
    </row>
    <row r="143" spans="1:9" x14ac:dyDescent="0.3">
      <c r="A143" s="7">
        <v>46265</v>
      </c>
      <c r="B143" s="1" t="s">
        <v>12</v>
      </c>
      <c r="C143" s="1" t="s">
        <v>22</v>
      </c>
      <c r="D143" s="1" t="s">
        <v>201</v>
      </c>
      <c r="E143" s="1">
        <v>2010</v>
      </c>
      <c r="F143" s="1" t="s">
        <v>193</v>
      </c>
      <c r="G143" s="1">
        <v>6</v>
      </c>
      <c r="H143" s="1" t="s">
        <v>47</v>
      </c>
      <c r="I143" s="1" t="s">
        <v>202</v>
      </c>
    </row>
    <row r="144" spans="1:9" x14ac:dyDescent="0.3">
      <c r="A144" s="7">
        <v>46265</v>
      </c>
      <c r="B144" s="1" t="s">
        <v>12</v>
      </c>
      <c r="C144" s="1" t="s">
        <v>22</v>
      </c>
      <c r="D144" s="1" t="s">
        <v>203</v>
      </c>
      <c r="E144" s="1">
        <v>2007</v>
      </c>
      <c r="F144" s="1" t="s">
        <v>193</v>
      </c>
      <c r="G144" s="1">
        <v>4</v>
      </c>
      <c r="H144" s="1" t="s">
        <v>47</v>
      </c>
      <c r="I144" s="1" t="s">
        <v>204</v>
      </c>
    </row>
    <row r="145" spans="1:9" x14ac:dyDescent="0.3">
      <c r="A145" s="7">
        <v>46265</v>
      </c>
      <c r="B145" s="1" t="s">
        <v>12</v>
      </c>
      <c r="C145" s="1" t="s">
        <v>22</v>
      </c>
      <c r="D145" s="1" t="s">
        <v>203</v>
      </c>
      <c r="E145" s="1">
        <v>2011</v>
      </c>
      <c r="F145" s="1" t="s">
        <v>193</v>
      </c>
      <c r="G145" s="1">
        <v>2</v>
      </c>
      <c r="H145" s="1" t="s">
        <v>47</v>
      </c>
      <c r="I145" s="1" t="s">
        <v>204</v>
      </c>
    </row>
    <row r="146" spans="1:9" x14ac:dyDescent="0.3">
      <c r="A146" s="7">
        <v>46265</v>
      </c>
      <c r="B146" s="1" t="s">
        <v>12</v>
      </c>
      <c r="C146" s="1" t="s">
        <v>22</v>
      </c>
      <c r="D146" s="1" t="s">
        <v>205</v>
      </c>
      <c r="E146" s="1">
        <v>2019</v>
      </c>
      <c r="F146" s="1" t="s">
        <v>206</v>
      </c>
      <c r="G146" s="1">
        <v>2</v>
      </c>
      <c r="H146" s="1" t="s">
        <v>47</v>
      </c>
      <c r="I146" s="1" t="s">
        <v>207</v>
      </c>
    </row>
    <row r="147" spans="1:9" x14ac:dyDescent="0.3">
      <c r="A147" s="7">
        <v>46265</v>
      </c>
      <c r="B147" s="1" t="s">
        <v>12</v>
      </c>
      <c r="C147" s="1" t="s">
        <v>22</v>
      </c>
      <c r="D147" s="1" t="s">
        <v>205</v>
      </c>
      <c r="E147" s="1">
        <v>2021</v>
      </c>
      <c r="F147" s="1" t="s">
        <v>206</v>
      </c>
      <c r="G147" s="1">
        <v>2</v>
      </c>
      <c r="H147" s="1" t="s">
        <v>47</v>
      </c>
      <c r="I147" s="1" t="s">
        <v>207</v>
      </c>
    </row>
    <row r="148" spans="1:9" x14ac:dyDescent="0.3">
      <c r="A148" s="7">
        <v>46265</v>
      </c>
      <c r="B148" s="1" t="s">
        <v>12</v>
      </c>
      <c r="C148" s="1" t="s">
        <v>22</v>
      </c>
      <c r="D148" s="1" t="s">
        <v>205</v>
      </c>
      <c r="E148" s="1">
        <v>2022</v>
      </c>
      <c r="F148" s="1" t="s">
        <v>206</v>
      </c>
      <c r="G148" s="1">
        <v>2</v>
      </c>
      <c r="H148" s="1" t="s">
        <v>47</v>
      </c>
      <c r="I148" s="1" t="s">
        <v>207</v>
      </c>
    </row>
    <row r="149" spans="1:9" x14ac:dyDescent="0.3">
      <c r="A149" s="7">
        <v>46265</v>
      </c>
      <c r="B149" s="1" t="s">
        <v>12</v>
      </c>
      <c r="C149" s="1" t="s">
        <v>22</v>
      </c>
      <c r="D149" s="1" t="s">
        <v>60</v>
      </c>
      <c r="E149" s="1">
        <v>2018</v>
      </c>
      <c r="F149" s="1" t="s">
        <v>206</v>
      </c>
      <c r="G149" s="1">
        <v>9</v>
      </c>
      <c r="H149" s="1" t="s">
        <v>47</v>
      </c>
      <c r="I149" s="1" t="s">
        <v>208</v>
      </c>
    </row>
    <row r="150" spans="1:9" x14ac:dyDescent="0.3">
      <c r="A150" s="7">
        <v>46265</v>
      </c>
      <c r="B150" s="1" t="s">
        <v>12</v>
      </c>
      <c r="C150" s="1" t="s">
        <v>22</v>
      </c>
      <c r="D150" s="1" t="s">
        <v>60</v>
      </c>
      <c r="E150" s="1">
        <v>2019</v>
      </c>
      <c r="F150" s="1" t="s">
        <v>206</v>
      </c>
      <c r="G150" s="1">
        <v>3</v>
      </c>
      <c r="H150" s="1" t="s">
        <v>47</v>
      </c>
      <c r="I150" s="1" t="s">
        <v>208</v>
      </c>
    </row>
    <row r="151" spans="1:9" x14ac:dyDescent="0.3">
      <c r="A151" s="7">
        <v>46265</v>
      </c>
      <c r="B151" s="1" t="s">
        <v>12</v>
      </c>
      <c r="C151" s="1" t="s">
        <v>22</v>
      </c>
      <c r="D151" s="1" t="s">
        <v>209</v>
      </c>
      <c r="E151" s="1">
        <v>2010</v>
      </c>
      <c r="F151" s="1" t="s">
        <v>206</v>
      </c>
      <c r="G151" s="1">
        <v>3</v>
      </c>
      <c r="H151" s="1" t="s">
        <v>47</v>
      </c>
      <c r="I151" s="1" t="s">
        <v>51</v>
      </c>
    </row>
    <row r="152" spans="1:9" x14ac:dyDescent="0.3">
      <c r="A152" s="7">
        <v>46265</v>
      </c>
      <c r="B152" s="1" t="s">
        <v>12</v>
      </c>
      <c r="C152" s="1" t="s">
        <v>22</v>
      </c>
      <c r="D152" s="1" t="s">
        <v>57</v>
      </c>
      <c r="E152" s="1">
        <v>2018</v>
      </c>
      <c r="F152" s="1" t="s">
        <v>206</v>
      </c>
      <c r="G152" s="1">
        <v>6</v>
      </c>
      <c r="H152" s="1" t="s">
        <v>47</v>
      </c>
      <c r="I152" s="1" t="s">
        <v>210</v>
      </c>
    </row>
    <row r="153" spans="1:9" x14ac:dyDescent="0.3">
      <c r="A153" s="7">
        <v>46265</v>
      </c>
      <c r="B153" s="1" t="s">
        <v>12</v>
      </c>
      <c r="C153" s="1" t="s">
        <v>22</v>
      </c>
      <c r="D153" s="1" t="s">
        <v>60</v>
      </c>
      <c r="E153" s="1">
        <v>2011</v>
      </c>
      <c r="F153" s="1" t="s">
        <v>206</v>
      </c>
      <c r="G153" s="1">
        <v>6</v>
      </c>
      <c r="H153" s="1" t="s">
        <v>47</v>
      </c>
      <c r="I153" s="1" t="s">
        <v>208</v>
      </c>
    </row>
    <row r="154" spans="1:9" x14ac:dyDescent="0.3">
      <c r="A154" s="7">
        <v>46265</v>
      </c>
      <c r="B154" s="1" t="s">
        <v>12</v>
      </c>
      <c r="C154" s="1" t="s">
        <v>22</v>
      </c>
      <c r="D154" s="1" t="s">
        <v>362</v>
      </c>
      <c r="E154" s="1">
        <v>2017</v>
      </c>
      <c r="F154" s="1" t="s">
        <v>206</v>
      </c>
      <c r="G154" s="1">
        <v>1</v>
      </c>
      <c r="H154" s="1" t="s">
        <v>47</v>
      </c>
      <c r="I154" s="1" t="s">
        <v>211</v>
      </c>
    </row>
    <row r="155" spans="1:9" x14ac:dyDescent="0.3">
      <c r="A155" s="7">
        <v>46265</v>
      </c>
      <c r="B155" s="1" t="s">
        <v>12</v>
      </c>
      <c r="C155" s="1" t="s">
        <v>22</v>
      </c>
      <c r="D155" s="1" t="s">
        <v>212</v>
      </c>
      <c r="E155" s="1">
        <v>2017</v>
      </c>
      <c r="F155" s="1" t="s">
        <v>206</v>
      </c>
      <c r="G155" s="1">
        <v>1</v>
      </c>
      <c r="H155" s="1" t="s">
        <v>47</v>
      </c>
      <c r="I155" s="1" t="s">
        <v>213</v>
      </c>
    </row>
    <row r="156" spans="1:9" x14ac:dyDescent="0.3">
      <c r="A156" s="7">
        <v>46265</v>
      </c>
      <c r="B156" s="1" t="s">
        <v>12</v>
      </c>
      <c r="C156" s="1" t="s">
        <v>22</v>
      </c>
      <c r="D156" s="1" t="s">
        <v>214</v>
      </c>
      <c r="E156" s="1">
        <v>2017</v>
      </c>
      <c r="F156" s="1" t="s">
        <v>206</v>
      </c>
      <c r="G156" s="1">
        <v>1</v>
      </c>
      <c r="H156" s="1" t="s">
        <v>47</v>
      </c>
      <c r="I156" s="1" t="s">
        <v>215</v>
      </c>
    </row>
    <row r="157" spans="1:9" x14ac:dyDescent="0.3">
      <c r="A157" s="7">
        <v>46265</v>
      </c>
      <c r="B157" s="1" t="s">
        <v>12</v>
      </c>
      <c r="C157" s="1" t="s">
        <v>22</v>
      </c>
      <c r="D157" s="1" t="s">
        <v>216</v>
      </c>
      <c r="E157" s="1">
        <v>1991</v>
      </c>
      <c r="F157" s="1" t="s">
        <v>206</v>
      </c>
      <c r="G157" s="1">
        <v>2</v>
      </c>
      <c r="H157" s="1" t="s">
        <v>47</v>
      </c>
      <c r="I157" s="1" t="s">
        <v>217</v>
      </c>
    </row>
    <row r="158" spans="1:9" x14ac:dyDescent="0.3">
      <c r="A158" s="7">
        <v>46265</v>
      </c>
      <c r="B158" s="1" t="s">
        <v>12</v>
      </c>
      <c r="C158" s="1" t="s">
        <v>22</v>
      </c>
      <c r="D158" s="1" t="s">
        <v>218</v>
      </c>
      <c r="E158" s="1">
        <v>2011</v>
      </c>
      <c r="F158" s="1" t="s">
        <v>206</v>
      </c>
      <c r="G158" s="1">
        <v>6</v>
      </c>
      <c r="H158" s="1" t="s">
        <v>47</v>
      </c>
      <c r="I158" s="1" t="s">
        <v>219</v>
      </c>
    </row>
    <row r="159" spans="1:9" x14ac:dyDescent="0.3">
      <c r="A159" s="7">
        <v>46265</v>
      </c>
      <c r="B159" s="1" t="s">
        <v>12</v>
      </c>
      <c r="C159" s="1" t="s">
        <v>22</v>
      </c>
      <c r="D159" s="1" t="s">
        <v>60</v>
      </c>
      <c r="E159" s="1">
        <v>2011</v>
      </c>
      <c r="F159" s="1" t="s">
        <v>220</v>
      </c>
      <c r="G159" s="1">
        <v>6</v>
      </c>
      <c r="H159" s="1" t="s">
        <v>47</v>
      </c>
      <c r="I159" s="1" t="s">
        <v>208</v>
      </c>
    </row>
    <row r="160" spans="1:9" x14ac:dyDescent="0.3">
      <c r="A160" s="7">
        <v>46265</v>
      </c>
      <c r="B160" s="1" t="s">
        <v>12</v>
      </c>
      <c r="C160" s="1" t="s">
        <v>22</v>
      </c>
      <c r="D160" s="1" t="s">
        <v>57</v>
      </c>
      <c r="E160" s="1">
        <v>2011</v>
      </c>
      <c r="F160" s="1" t="s">
        <v>220</v>
      </c>
      <c r="G160" s="1">
        <v>4</v>
      </c>
      <c r="H160" s="1" t="s">
        <v>47</v>
      </c>
      <c r="I160" s="1" t="s">
        <v>210</v>
      </c>
    </row>
    <row r="161" spans="1:9" x14ac:dyDescent="0.3">
      <c r="A161" s="7">
        <v>46265</v>
      </c>
      <c r="B161" s="1" t="s">
        <v>12</v>
      </c>
      <c r="C161" s="1" t="s">
        <v>22</v>
      </c>
      <c r="D161" s="1" t="s">
        <v>57</v>
      </c>
      <c r="E161" s="1">
        <v>2017</v>
      </c>
      <c r="F161" s="1" t="s">
        <v>220</v>
      </c>
      <c r="G161" s="1">
        <v>2</v>
      </c>
      <c r="H161" s="1" t="s">
        <v>47</v>
      </c>
      <c r="I161" s="1" t="s">
        <v>210</v>
      </c>
    </row>
    <row r="162" spans="1:9" x14ac:dyDescent="0.3">
      <c r="A162" s="7">
        <v>46265</v>
      </c>
      <c r="B162" s="1" t="s">
        <v>12</v>
      </c>
      <c r="C162" s="1" t="s">
        <v>22</v>
      </c>
      <c r="D162" s="1" t="s">
        <v>57</v>
      </c>
      <c r="E162" s="1">
        <v>2019</v>
      </c>
      <c r="F162" s="1" t="s">
        <v>220</v>
      </c>
      <c r="G162" s="1">
        <v>6</v>
      </c>
      <c r="H162" s="1" t="s">
        <v>47</v>
      </c>
      <c r="I162" s="1" t="s">
        <v>210</v>
      </c>
    </row>
    <row r="163" spans="1:9" x14ac:dyDescent="0.3">
      <c r="A163" s="7">
        <v>46265</v>
      </c>
      <c r="B163" s="1" t="s">
        <v>12</v>
      </c>
      <c r="C163" s="1" t="s">
        <v>22</v>
      </c>
      <c r="D163" s="1" t="s">
        <v>57</v>
      </c>
      <c r="E163" s="1">
        <v>2020</v>
      </c>
      <c r="F163" s="1" t="s">
        <v>220</v>
      </c>
      <c r="G163" s="1">
        <v>3</v>
      </c>
      <c r="H163" s="1" t="s">
        <v>47</v>
      </c>
      <c r="I163" s="1" t="s">
        <v>210</v>
      </c>
    </row>
    <row r="164" spans="1:9" x14ac:dyDescent="0.3">
      <c r="A164" s="7">
        <v>46265</v>
      </c>
      <c r="B164" s="1" t="s">
        <v>12</v>
      </c>
      <c r="C164" s="1" t="s">
        <v>22</v>
      </c>
      <c r="D164" s="1" t="s">
        <v>60</v>
      </c>
      <c r="E164" s="1">
        <v>2020</v>
      </c>
      <c r="F164" s="1" t="s">
        <v>220</v>
      </c>
      <c r="G164" s="1">
        <v>3</v>
      </c>
      <c r="H164" s="1" t="s">
        <v>47</v>
      </c>
      <c r="I164" s="1" t="s">
        <v>208</v>
      </c>
    </row>
    <row r="165" spans="1:9" x14ac:dyDescent="0.3">
      <c r="A165" s="7">
        <v>46265</v>
      </c>
      <c r="B165" s="1" t="s">
        <v>12</v>
      </c>
      <c r="C165" s="1" t="s">
        <v>22</v>
      </c>
      <c r="D165" s="1" t="s">
        <v>60</v>
      </c>
      <c r="E165" s="1">
        <v>2014</v>
      </c>
      <c r="F165" s="1" t="s">
        <v>220</v>
      </c>
      <c r="G165" s="1">
        <v>3</v>
      </c>
      <c r="H165" s="1" t="s">
        <v>47</v>
      </c>
      <c r="I165" s="1" t="s">
        <v>208</v>
      </c>
    </row>
    <row r="166" spans="1:9" x14ac:dyDescent="0.3">
      <c r="A166" s="7">
        <v>46265</v>
      </c>
      <c r="B166" s="1" t="s">
        <v>12</v>
      </c>
      <c r="C166" s="1" t="s">
        <v>22</v>
      </c>
      <c r="D166" s="1" t="s">
        <v>57</v>
      </c>
      <c r="E166" s="1">
        <v>2014</v>
      </c>
      <c r="F166" s="1" t="s">
        <v>220</v>
      </c>
      <c r="G166" s="1">
        <v>3</v>
      </c>
      <c r="H166" s="1" t="s">
        <v>47</v>
      </c>
      <c r="I166" s="1" t="s">
        <v>210</v>
      </c>
    </row>
    <row r="167" spans="1:9" x14ac:dyDescent="0.3">
      <c r="A167" s="7">
        <v>46265</v>
      </c>
      <c r="B167" s="1" t="s">
        <v>12</v>
      </c>
      <c r="C167" s="1" t="s">
        <v>22</v>
      </c>
      <c r="D167" s="1" t="s">
        <v>221</v>
      </c>
      <c r="E167" s="1">
        <v>2011</v>
      </c>
      <c r="F167" s="1" t="s">
        <v>220</v>
      </c>
      <c r="G167" s="1">
        <v>18</v>
      </c>
      <c r="H167" s="1" t="s">
        <v>47</v>
      </c>
      <c r="I167" s="1" t="s">
        <v>222</v>
      </c>
    </row>
    <row r="168" spans="1:9" x14ac:dyDescent="0.3">
      <c r="A168" s="7">
        <v>46265</v>
      </c>
      <c r="B168" s="1" t="s">
        <v>12</v>
      </c>
      <c r="C168" s="1" t="s">
        <v>22</v>
      </c>
      <c r="D168" s="1" t="s">
        <v>223</v>
      </c>
      <c r="E168" s="1">
        <v>2005</v>
      </c>
      <c r="F168" s="1" t="s">
        <v>224</v>
      </c>
      <c r="G168" s="1">
        <v>12</v>
      </c>
      <c r="H168" s="1" t="s">
        <v>47</v>
      </c>
      <c r="I168" s="1" t="s">
        <v>225</v>
      </c>
    </row>
    <row r="169" spans="1:9" x14ac:dyDescent="0.3">
      <c r="A169" s="7">
        <v>46265</v>
      </c>
      <c r="B169" s="1" t="s">
        <v>12</v>
      </c>
      <c r="C169" s="1" t="s">
        <v>22</v>
      </c>
      <c r="D169" s="1" t="s">
        <v>60</v>
      </c>
      <c r="E169" s="1">
        <v>2022</v>
      </c>
      <c r="F169" s="1" t="s">
        <v>224</v>
      </c>
      <c r="G169" s="1">
        <v>3</v>
      </c>
      <c r="H169" s="1" t="s">
        <v>47</v>
      </c>
      <c r="I169" s="1" t="s">
        <v>208</v>
      </c>
    </row>
    <row r="170" spans="1:9" x14ac:dyDescent="0.3">
      <c r="A170" s="7">
        <v>46265</v>
      </c>
      <c r="B170" s="1" t="s">
        <v>12</v>
      </c>
      <c r="C170" s="1" t="s">
        <v>22</v>
      </c>
      <c r="D170" s="1" t="s">
        <v>57</v>
      </c>
      <c r="E170" s="1">
        <v>2022</v>
      </c>
      <c r="F170" s="1" t="s">
        <v>224</v>
      </c>
      <c r="G170" s="1">
        <v>3</v>
      </c>
      <c r="H170" s="1" t="s">
        <v>47</v>
      </c>
      <c r="I170" s="1" t="s">
        <v>210</v>
      </c>
    </row>
    <row r="171" spans="1:9" x14ac:dyDescent="0.3">
      <c r="A171" s="7">
        <v>46265</v>
      </c>
      <c r="B171" s="1" t="s">
        <v>12</v>
      </c>
      <c r="C171" s="1" t="s">
        <v>22</v>
      </c>
      <c r="D171" s="1" t="s">
        <v>226</v>
      </c>
      <c r="E171" s="1">
        <v>2011</v>
      </c>
      <c r="F171" s="1" t="s">
        <v>224</v>
      </c>
      <c r="G171" s="1">
        <v>4</v>
      </c>
      <c r="H171" s="1" t="s">
        <v>47</v>
      </c>
      <c r="I171" s="1" t="s">
        <v>227</v>
      </c>
    </row>
    <row r="172" spans="1:9" x14ac:dyDescent="0.3">
      <c r="A172" s="7">
        <v>46265</v>
      </c>
      <c r="B172" s="1" t="s">
        <v>12</v>
      </c>
      <c r="C172" s="1" t="s">
        <v>22</v>
      </c>
      <c r="D172" s="1" t="s">
        <v>226</v>
      </c>
      <c r="E172" s="1">
        <v>2013</v>
      </c>
      <c r="F172" s="1" t="s">
        <v>224</v>
      </c>
      <c r="G172" s="1">
        <v>4</v>
      </c>
      <c r="H172" s="1" t="s">
        <v>47</v>
      </c>
      <c r="I172" s="1" t="s">
        <v>227</v>
      </c>
    </row>
    <row r="173" spans="1:9" x14ac:dyDescent="0.3">
      <c r="A173" s="7">
        <v>46265</v>
      </c>
      <c r="B173" s="1" t="s">
        <v>12</v>
      </c>
      <c r="C173" s="1" t="s">
        <v>22</v>
      </c>
      <c r="D173" s="1" t="s">
        <v>228</v>
      </c>
      <c r="E173" s="1">
        <v>2018</v>
      </c>
      <c r="F173" s="1" t="s">
        <v>224</v>
      </c>
      <c r="G173" s="1">
        <v>6</v>
      </c>
      <c r="H173" s="1" t="s">
        <v>47</v>
      </c>
      <c r="I173" s="1" t="s">
        <v>229</v>
      </c>
    </row>
    <row r="174" spans="1:9" x14ac:dyDescent="0.3">
      <c r="A174" s="7">
        <v>46265</v>
      </c>
      <c r="B174" s="1" t="s">
        <v>12</v>
      </c>
      <c r="C174" s="1" t="s">
        <v>22</v>
      </c>
      <c r="D174" s="1" t="s">
        <v>228</v>
      </c>
      <c r="E174" s="1">
        <v>2018</v>
      </c>
      <c r="F174" s="1" t="s">
        <v>224</v>
      </c>
      <c r="G174" s="1">
        <v>11</v>
      </c>
      <c r="H174" s="1" t="s">
        <v>47</v>
      </c>
      <c r="I174" s="1" t="s">
        <v>229</v>
      </c>
    </row>
    <row r="175" spans="1:9" x14ac:dyDescent="0.3">
      <c r="A175" s="7">
        <v>46265</v>
      </c>
      <c r="B175" s="1" t="s">
        <v>12</v>
      </c>
      <c r="C175" s="1" t="s">
        <v>39</v>
      </c>
      <c r="D175" s="1" t="s">
        <v>230</v>
      </c>
      <c r="E175" s="1">
        <v>2008</v>
      </c>
      <c r="F175" s="1" t="s">
        <v>224</v>
      </c>
      <c r="G175" s="1">
        <v>6</v>
      </c>
      <c r="H175" s="1" t="s">
        <v>47</v>
      </c>
      <c r="I175" s="1" t="s">
        <v>231</v>
      </c>
    </row>
    <row r="176" spans="1:9" x14ac:dyDescent="0.3">
      <c r="A176" s="7">
        <v>46265</v>
      </c>
      <c r="B176" s="1" t="s">
        <v>12</v>
      </c>
      <c r="C176" s="1" t="s">
        <v>22</v>
      </c>
      <c r="D176" s="1" t="s">
        <v>201</v>
      </c>
      <c r="E176" s="1">
        <v>2011</v>
      </c>
      <c r="F176" s="1" t="s">
        <v>232</v>
      </c>
      <c r="G176" s="1">
        <v>12</v>
      </c>
      <c r="H176" s="1" t="s">
        <v>47</v>
      </c>
      <c r="I176" s="1" t="s">
        <v>202</v>
      </c>
    </row>
    <row r="177" spans="1:9" x14ac:dyDescent="0.3">
      <c r="A177" s="7">
        <v>46265</v>
      </c>
      <c r="B177" s="1" t="s">
        <v>12</v>
      </c>
      <c r="C177" s="1" t="s">
        <v>22</v>
      </c>
      <c r="D177" s="1" t="s">
        <v>201</v>
      </c>
      <c r="E177" s="1">
        <v>2010</v>
      </c>
      <c r="F177" s="1" t="s">
        <v>232</v>
      </c>
      <c r="G177" s="1">
        <v>6</v>
      </c>
      <c r="H177" s="1" t="s">
        <v>47</v>
      </c>
      <c r="I177" s="1" t="s">
        <v>202</v>
      </c>
    </row>
    <row r="178" spans="1:9" x14ac:dyDescent="0.3">
      <c r="A178" s="7">
        <v>46265</v>
      </c>
      <c r="B178" s="1" t="s">
        <v>12</v>
      </c>
      <c r="C178" s="1" t="s">
        <v>22</v>
      </c>
      <c r="D178" s="1" t="s">
        <v>296</v>
      </c>
      <c r="E178" s="1">
        <v>2000</v>
      </c>
      <c r="F178" s="1" t="s">
        <v>232</v>
      </c>
      <c r="G178" s="1">
        <v>2</v>
      </c>
      <c r="H178" s="1" t="s">
        <v>47</v>
      </c>
      <c r="I178" s="1" t="s">
        <v>182</v>
      </c>
    </row>
    <row r="179" spans="1:9" x14ac:dyDescent="0.3">
      <c r="A179" s="7">
        <v>46265</v>
      </c>
      <c r="B179" s="1" t="s">
        <v>12</v>
      </c>
      <c r="C179" s="1" t="s">
        <v>22</v>
      </c>
      <c r="D179" s="1" t="s">
        <v>180</v>
      </c>
      <c r="E179" s="1">
        <v>1995</v>
      </c>
      <c r="F179" s="1" t="s">
        <v>232</v>
      </c>
      <c r="G179" s="1">
        <v>1</v>
      </c>
      <c r="H179" s="1" t="s">
        <v>47</v>
      </c>
      <c r="I179" s="1" t="s">
        <v>181</v>
      </c>
    </row>
    <row r="180" spans="1:9" x14ac:dyDescent="0.3">
      <c r="A180" s="7">
        <v>46265</v>
      </c>
      <c r="B180" s="1" t="s">
        <v>12</v>
      </c>
      <c r="C180" s="1" t="s">
        <v>22</v>
      </c>
      <c r="D180" s="1" t="s">
        <v>233</v>
      </c>
      <c r="E180" s="1">
        <v>2014</v>
      </c>
      <c r="F180" s="1" t="s">
        <v>232</v>
      </c>
      <c r="G180" s="1">
        <v>3</v>
      </c>
      <c r="H180" s="1" t="s">
        <v>47</v>
      </c>
      <c r="I180" s="1" t="s">
        <v>234</v>
      </c>
    </row>
    <row r="181" spans="1:9" x14ac:dyDescent="0.3">
      <c r="A181" s="7">
        <v>46265</v>
      </c>
      <c r="B181" s="1" t="s">
        <v>12</v>
      </c>
      <c r="C181" s="1" t="s">
        <v>39</v>
      </c>
      <c r="D181" s="1" t="s">
        <v>106</v>
      </c>
      <c r="E181" s="1">
        <v>2008</v>
      </c>
      <c r="F181" s="1" t="s">
        <v>232</v>
      </c>
      <c r="G181" s="1">
        <v>2</v>
      </c>
      <c r="H181" s="1" t="s">
        <v>47</v>
      </c>
      <c r="I181" s="1" t="s">
        <v>108</v>
      </c>
    </row>
    <row r="182" spans="1:9" x14ac:dyDescent="0.3">
      <c r="A182" s="7">
        <v>46265</v>
      </c>
      <c r="B182" s="1" t="s">
        <v>12</v>
      </c>
      <c r="C182" s="1" t="s">
        <v>39</v>
      </c>
      <c r="D182" s="1" t="s">
        <v>106</v>
      </c>
      <c r="E182" s="1">
        <v>2014</v>
      </c>
      <c r="F182" s="1" t="s">
        <v>232</v>
      </c>
      <c r="G182" s="1">
        <v>2</v>
      </c>
      <c r="H182" s="1" t="s">
        <v>47</v>
      </c>
      <c r="I182" s="1" t="s">
        <v>108</v>
      </c>
    </row>
    <row r="183" spans="1:9" x14ac:dyDescent="0.3">
      <c r="A183" s="7">
        <v>46265</v>
      </c>
      <c r="B183" s="1" t="s">
        <v>12</v>
      </c>
      <c r="C183" s="1" t="s">
        <v>39</v>
      </c>
      <c r="D183" s="1" t="s">
        <v>235</v>
      </c>
      <c r="E183" s="1">
        <v>2008</v>
      </c>
      <c r="F183" s="1" t="s">
        <v>232</v>
      </c>
      <c r="G183" s="1">
        <v>1</v>
      </c>
      <c r="H183" s="1" t="s">
        <v>47</v>
      </c>
      <c r="I183" s="1" t="s">
        <v>236</v>
      </c>
    </row>
    <row r="184" spans="1:9" x14ac:dyDescent="0.3">
      <c r="A184" s="7">
        <v>46265</v>
      </c>
      <c r="B184" s="1" t="s">
        <v>12</v>
      </c>
      <c r="C184" s="1" t="s">
        <v>39</v>
      </c>
      <c r="D184" s="1" t="s">
        <v>235</v>
      </c>
      <c r="E184" s="1">
        <v>2011</v>
      </c>
      <c r="F184" s="1" t="s">
        <v>232</v>
      </c>
      <c r="G184" s="1">
        <v>3</v>
      </c>
      <c r="H184" s="1" t="s">
        <v>47</v>
      </c>
      <c r="I184" s="1" t="s">
        <v>236</v>
      </c>
    </row>
    <row r="185" spans="1:9" x14ac:dyDescent="0.3">
      <c r="A185" s="7">
        <v>46265</v>
      </c>
      <c r="B185" s="1" t="s">
        <v>12</v>
      </c>
      <c r="C185" s="1" t="s">
        <v>22</v>
      </c>
      <c r="D185" s="1" t="s">
        <v>233</v>
      </c>
      <c r="E185" s="1">
        <v>2012</v>
      </c>
      <c r="F185" s="1" t="s">
        <v>232</v>
      </c>
      <c r="G185" s="1">
        <v>1</v>
      </c>
      <c r="H185" s="1" t="s">
        <v>47</v>
      </c>
      <c r="I185" s="1" t="s">
        <v>234</v>
      </c>
    </row>
    <row r="186" spans="1:9" x14ac:dyDescent="0.3">
      <c r="A186" s="7">
        <v>46265</v>
      </c>
      <c r="B186" s="1" t="s">
        <v>12</v>
      </c>
      <c r="C186" s="1" t="s">
        <v>22</v>
      </c>
      <c r="D186" s="1" t="s">
        <v>233</v>
      </c>
      <c r="E186" s="1">
        <v>2014</v>
      </c>
      <c r="F186" s="1" t="s">
        <v>232</v>
      </c>
      <c r="G186" s="1">
        <v>1</v>
      </c>
      <c r="H186" s="1" t="s">
        <v>47</v>
      </c>
      <c r="I186" s="1" t="s">
        <v>234</v>
      </c>
    </row>
    <row r="187" spans="1:9" x14ac:dyDescent="0.3">
      <c r="A187" s="7">
        <v>46265</v>
      </c>
      <c r="B187" s="1" t="s">
        <v>12</v>
      </c>
      <c r="C187" s="1" t="s">
        <v>39</v>
      </c>
      <c r="D187" s="1" t="s">
        <v>106</v>
      </c>
      <c r="E187" s="1">
        <v>2012</v>
      </c>
      <c r="F187" s="1" t="s">
        <v>232</v>
      </c>
      <c r="G187" s="1">
        <v>7</v>
      </c>
      <c r="H187" s="1" t="s">
        <v>47</v>
      </c>
      <c r="I187" s="1" t="s">
        <v>108</v>
      </c>
    </row>
    <row r="188" spans="1:9" x14ac:dyDescent="0.3">
      <c r="A188" s="7">
        <v>46265</v>
      </c>
      <c r="B188" s="1" t="s">
        <v>12</v>
      </c>
      <c r="C188" s="1" t="s">
        <v>22</v>
      </c>
      <c r="D188" s="1" t="s">
        <v>361</v>
      </c>
      <c r="E188" s="1">
        <v>2020</v>
      </c>
      <c r="F188" s="1" t="s">
        <v>232</v>
      </c>
      <c r="G188" s="1">
        <v>8</v>
      </c>
      <c r="H188" s="1" t="s">
        <v>47</v>
      </c>
      <c r="I188" s="1" t="s">
        <v>237</v>
      </c>
    </row>
    <row r="189" spans="1:9" x14ac:dyDescent="0.3">
      <c r="A189" s="7">
        <v>46265</v>
      </c>
      <c r="B189" s="1" t="s">
        <v>12</v>
      </c>
      <c r="C189" s="1" t="s">
        <v>22</v>
      </c>
      <c r="D189" s="1" t="s">
        <v>201</v>
      </c>
      <c r="E189" s="1">
        <v>2010</v>
      </c>
      <c r="F189" s="1" t="s">
        <v>232</v>
      </c>
      <c r="G189" s="1">
        <v>6</v>
      </c>
      <c r="H189" s="1" t="s">
        <v>47</v>
      </c>
      <c r="I189" s="1" t="s">
        <v>202</v>
      </c>
    </row>
    <row r="190" spans="1:9" x14ac:dyDescent="0.3">
      <c r="A190" s="7">
        <v>46265</v>
      </c>
      <c r="B190" s="1" t="s">
        <v>12</v>
      </c>
      <c r="C190" s="1" t="s">
        <v>43</v>
      </c>
      <c r="D190" s="1" t="s">
        <v>238</v>
      </c>
      <c r="E190" s="1">
        <v>2013</v>
      </c>
      <c r="F190" s="1" t="s">
        <v>239</v>
      </c>
      <c r="G190" s="1">
        <v>3</v>
      </c>
      <c r="H190" s="1" t="s">
        <v>47</v>
      </c>
      <c r="I190" s="1" t="s">
        <v>240</v>
      </c>
    </row>
    <row r="191" spans="1:9" x14ac:dyDescent="0.3">
      <c r="A191" s="7">
        <v>46265</v>
      </c>
      <c r="B191" s="1" t="s">
        <v>12</v>
      </c>
      <c r="C191" s="1" t="s">
        <v>43</v>
      </c>
      <c r="D191" s="1" t="s">
        <v>241</v>
      </c>
      <c r="E191" s="1">
        <v>2013</v>
      </c>
      <c r="F191" s="1" t="s">
        <v>239</v>
      </c>
      <c r="G191" s="1">
        <v>3</v>
      </c>
      <c r="H191" s="1" t="s">
        <v>47</v>
      </c>
      <c r="I191" s="1" t="s">
        <v>242</v>
      </c>
    </row>
    <row r="192" spans="1:9" x14ac:dyDescent="0.3">
      <c r="A192" s="7">
        <v>46265</v>
      </c>
      <c r="B192" s="1" t="s">
        <v>12</v>
      </c>
      <c r="C192" s="1" t="s">
        <v>43</v>
      </c>
      <c r="D192" s="1" t="s">
        <v>243</v>
      </c>
      <c r="E192" s="1">
        <v>2013</v>
      </c>
      <c r="F192" s="1" t="s">
        <v>239</v>
      </c>
      <c r="G192" s="1">
        <v>3</v>
      </c>
      <c r="H192" s="1" t="s">
        <v>47</v>
      </c>
      <c r="I192" s="1" t="s">
        <v>244</v>
      </c>
    </row>
    <row r="193" spans="1:9" x14ac:dyDescent="0.3">
      <c r="A193" s="7">
        <v>46265</v>
      </c>
      <c r="B193" s="1" t="s">
        <v>12</v>
      </c>
      <c r="C193" s="1" t="s">
        <v>43</v>
      </c>
      <c r="D193" s="1" t="s">
        <v>245</v>
      </c>
      <c r="E193" s="1">
        <v>2016</v>
      </c>
      <c r="F193" s="1" t="s">
        <v>239</v>
      </c>
      <c r="G193" s="1">
        <v>2</v>
      </c>
      <c r="H193" s="1" t="s">
        <v>47</v>
      </c>
      <c r="I193" s="1" t="s">
        <v>246</v>
      </c>
    </row>
    <row r="194" spans="1:9" x14ac:dyDescent="0.3">
      <c r="A194" s="7">
        <v>46265</v>
      </c>
      <c r="B194" s="1" t="s">
        <v>12</v>
      </c>
      <c r="C194" s="1" t="s">
        <v>43</v>
      </c>
      <c r="D194" s="1" t="s">
        <v>245</v>
      </c>
      <c r="E194" s="1">
        <v>2018</v>
      </c>
      <c r="F194" s="1" t="s">
        <v>239</v>
      </c>
      <c r="G194" s="1">
        <v>6</v>
      </c>
      <c r="H194" s="1" t="s">
        <v>47</v>
      </c>
      <c r="I194" s="1" t="s">
        <v>246</v>
      </c>
    </row>
    <row r="195" spans="1:9" x14ac:dyDescent="0.3">
      <c r="A195" s="7">
        <v>46265</v>
      </c>
      <c r="B195" s="1" t="s">
        <v>12</v>
      </c>
      <c r="C195" s="1" t="s">
        <v>43</v>
      </c>
      <c r="D195" s="1" t="s">
        <v>247</v>
      </c>
      <c r="E195" s="1">
        <v>2009</v>
      </c>
      <c r="F195" s="1" t="s">
        <v>239</v>
      </c>
      <c r="G195" s="1">
        <v>6</v>
      </c>
      <c r="H195" s="1" t="s">
        <v>47</v>
      </c>
      <c r="I195" s="1" t="s">
        <v>248</v>
      </c>
    </row>
    <row r="196" spans="1:9" x14ac:dyDescent="0.3">
      <c r="A196" s="7">
        <v>46265</v>
      </c>
      <c r="B196" s="1" t="s">
        <v>12</v>
      </c>
      <c r="C196" s="1" t="s">
        <v>43</v>
      </c>
      <c r="D196" s="1" t="s">
        <v>238</v>
      </c>
      <c r="E196" s="1">
        <v>2011</v>
      </c>
      <c r="F196" s="1" t="s">
        <v>239</v>
      </c>
      <c r="G196" s="1">
        <v>2</v>
      </c>
      <c r="H196" s="1" t="s">
        <v>47</v>
      </c>
      <c r="I196" s="1" t="s">
        <v>240</v>
      </c>
    </row>
    <row r="197" spans="1:9" x14ac:dyDescent="0.3">
      <c r="A197" s="7">
        <v>46265</v>
      </c>
      <c r="B197" s="1" t="s">
        <v>12</v>
      </c>
      <c r="C197" s="1" t="s">
        <v>43</v>
      </c>
      <c r="D197" s="1" t="s">
        <v>241</v>
      </c>
      <c r="E197" s="1">
        <v>2011</v>
      </c>
      <c r="F197" s="1" t="s">
        <v>239</v>
      </c>
      <c r="G197" s="1">
        <v>2</v>
      </c>
      <c r="H197" s="1" t="s">
        <v>47</v>
      </c>
      <c r="I197" s="1" t="s">
        <v>242</v>
      </c>
    </row>
    <row r="198" spans="1:9" x14ac:dyDescent="0.3">
      <c r="A198" s="7">
        <v>46265</v>
      </c>
      <c r="B198" s="1" t="s">
        <v>12</v>
      </c>
      <c r="C198" s="1" t="s">
        <v>43</v>
      </c>
      <c r="D198" s="1" t="s">
        <v>243</v>
      </c>
      <c r="E198" s="1">
        <v>2011</v>
      </c>
      <c r="F198" s="1" t="s">
        <v>239</v>
      </c>
      <c r="G198" s="1">
        <v>2</v>
      </c>
      <c r="H198" s="1" t="s">
        <v>47</v>
      </c>
      <c r="I198" s="1" t="s">
        <v>244</v>
      </c>
    </row>
    <row r="199" spans="1:9" x14ac:dyDescent="0.3">
      <c r="A199" s="7">
        <v>46265</v>
      </c>
      <c r="B199" s="1" t="s">
        <v>12</v>
      </c>
      <c r="C199" s="1" t="s">
        <v>43</v>
      </c>
      <c r="D199" s="1" t="s">
        <v>238</v>
      </c>
      <c r="E199" s="1">
        <v>2007</v>
      </c>
      <c r="F199" s="1" t="s">
        <v>239</v>
      </c>
      <c r="G199" s="1">
        <v>3</v>
      </c>
      <c r="H199" s="1" t="s">
        <v>47</v>
      </c>
      <c r="I199" s="1" t="s">
        <v>240</v>
      </c>
    </row>
    <row r="200" spans="1:9" x14ac:dyDescent="0.3">
      <c r="A200" s="7">
        <v>46265</v>
      </c>
      <c r="B200" s="1" t="s">
        <v>12</v>
      </c>
      <c r="C200" s="1" t="s">
        <v>43</v>
      </c>
      <c r="D200" s="1" t="s">
        <v>238</v>
      </c>
      <c r="E200" s="1">
        <v>2008</v>
      </c>
      <c r="F200" s="1" t="s">
        <v>239</v>
      </c>
      <c r="G200" s="1">
        <v>1</v>
      </c>
      <c r="H200" s="1" t="s">
        <v>47</v>
      </c>
      <c r="I200" s="1" t="s">
        <v>240</v>
      </c>
    </row>
    <row r="201" spans="1:9" x14ac:dyDescent="0.3">
      <c r="A201" s="7">
        <v>46265</v>
      </c>
      <c r="B201" s="1" t="s">
        <v>12</v>
      </c>
      <c r="C201" s="1" t="s">
        <v>43</v>
      </c>
      <c r="D201" s="1" t="s">
        <v>241</v>
      </c>
      <c r="E201" s="1">
        <v>2007</v>
      </c>
      <c r="F201" s="1" t="s">
        <v>239</v>
      </c>
      <c r="G201" s="1">
        <v>3</v>
      </c>
      <c r="H201" s="1" t="s">
        <v>47</v>
      </c>
      <c r="I201" s="1" t="s">
        <v>242</v>
      </c>
    </row>
    <row r="202" spans="1:9" x14ac:dyDescent="0.3">
      <c r="A202" s="7">
        <v>46265</v>
      </c>
      <c r="B202" s="1" t="s">
        <v>12</v>
      </c>
      <c r="C202" s="1" t="s">
        <v>43</v>
      </c>
      <c r="D202" s="1" t="s">
        <v>241</v>
      </c>
      <c r="E202" s="1">
        <v>2008</v>
      </c>
      <c r="F202" s="1" t="s">
        <v>239</v>
      </c>
      <c r="G202" s="1">
        <v>1</v>
      </c>
      <c r="H202" s="1" t="s">
        <v>47</v>
      </c>
      <c r="I202" s="1" t="s">
        <v>242</v>
      </c>
    </row>
    <row r="203" spans="1:9" x14ac:dyDescent="0.3">
      <c r="A203" s="7">
        <v>46265</v>
      </c>
      <c r="B203" s="1" t="s">
        <v>12</v>
      </c>
      <c r="C203" s="1" t="s">
        <v>43</v>
      </c>
      <c r="D203" s="1" t="s">
        <v>243</v>
      </c>
      <c r="E203" s="1">
        <v>2007</v>
      </c>
      <c r="F203" s="1" t="s">
        <v>239</v>
      </c>
      <c r="G203" s="1">
        <v>3</v>
      </c>
      <c r="H203" s="1" t="s">
        <v>47</v>
      </c>
      <c r="I203" s="1" t="s">
        <v>244</v>
      </c>
    </row>
    <row r="204" spans="1:9" x14ac:dyDescent="0.3">
      <c r="A204" s="7">
        <v>46265</v>
      </c>
      <c r="B204" s="1" t="s">
        <v>12</v>
      </c>
      <c r="C204" s="1" t="s">
        <v>43</v>
      </c>
      <c r="D204" s="1" t="s">
        <v>243</v>
      </c>
      <c r="E204" s="1">
        <v>2008</v>
      </c>
      <c r="F204" s="1" t="s">
        <v>239</v>
      </c>
      <c r="G204" s="1">
        <v>1</v>
      </c>
      <c r="H204" s="1" t="s">
        <v>47</v>
      </c>
      <c r="I204" s="1" t="s">
        <v>249</v>
      </c>
    </row>
    <row r="205" spans="1:9" x14ac:dyDescent="0.3">
      <c r="A205" s="7">
        <v>46265</v>
      </c>
      <c r="B205" s="1" t="s">
        <v>12</v>
      </c>
      <c r="C205" s="1" t="s">
        <v>43</v>
      </c>
      <c r="D205" s="1" t="s">
        <v>250</v>
      </c>
      <c r="E205" s="1">
        <v>2019</v>
      </c>
      <c r="F205" s="1" t="s">
        <v>251</v>
      </c>
      <c r="G205" s="1">
        <v>2</v>
      </c>
      <c r="H205" s="1" t="s">
        <v>47</v>
      </c>
      <c r="I205" s="1" t="s">
        <v>252</v>
      </c>
    </row>
    <row r="206" spans="1:9" x14ac:dyDescent="0.3">
      <c r="A206" s="7">
        <v>46265</v>
      </c>
      <c r="B206" s="1" t="s">
        <v>12</v>
      </c>
      <c r="C206" s="1" t="s">
        <v>43</v>
      </c>
      <c r="D206" s="1" t="s">
        <v>253</v>
      </c>
      <c r="E206" s="1">
        <v>2020</v>
      </c>
      <c r="F206" s="1" t="s">
        <v>251</v>
      </c>
      <c r="G206" s="1">
        <v>1</v>
      </c>
      <c r="H206" s="1" t="s">
        <v>47</v>
      </c>
      <c r="I206" s="1" t="s">
        <v>254</v>
      </c>
    </row>
    <row r="207" spans="1:9" x14ac:dyDescent="0.3">
      <c r="A207" s="7">
        <v>46265</v>
      </c>
      <c r="B207" s="1" t="s">
        <v>12</v>
      </c>
      <c r="C207" s="1" t="s">
        <v>43</v>
      </c>
      <c r="D207" s="1" t="s">
        <v>253</v>
      </c>
      <c r="E207" s="1">
        <v>2022</v>
      </c>
      <c r="F207" s="1" t="s">
        <v>251</v>
      </c>
      <c r="G207" s="1">
        <v>2</v>
      </c>
      <c r="H207" s="1" t="s">
        <v>47</v>
      </c>
      <c r="I207" s="1" t="s">
        <v>254</v>
      </c>
    </row>
    <row r="208" spans="1:9" x14ac:dyDescent="0.3">
      <c r="A208" s="7">
        <v>46265</v>
      </c>
      <c r="B208" s="1" t="s">
        <v>12</v>
      </c>
      <c r="C208" s="1" t="s">
        <v>43</v>
      </c>
      <c r="D208" s="1" t="s">
        <v>66</v>
      </c>
      <c r="E208" s="1">
        <v>2010</v>
      </c>
      <c r="F208" s="1" t="s">
        <v>251</v>
      </c>
      <c r="G208" s="1">
        <v>5</v>
      </c>
      <c r="H208" s="1" t="s">
        <v>47</v>
      </c>
      <c r="I208" s="1" t="s">
        <v>255</v>
      </c>
    </row>
    <row r="209" spans="1:9" x14ac:dyDescent="0.3">
      <c r="A209" s="7">
        <v>46265</v>
      </c>
      <c r="B209" s="1" t="s">
        <v>12</v>
      </c>
      <c r="C209" s="1" t="s">
        <v>41</v>
      </c>
      <c r="D209" s="1" t="s">
        <v>256</v>
      </c>
      <c r="E209" s="1">
        <v>2001</v>
      </c>
      <c r="F209" s="1" t="s">
        <v>251</v>
      </c>
      <c r="G209" s="1">
        <v>6</v>
      </c>
      <c r="H209" s="1" t="s">
        <v>47</v>
      </c>
    </row>
    <row r="210" spans="1:9" x14ac:dyDescent="0.3">
      <c r="A210" s="7">
        <v>46265</v>
      </c>
      <c r="B210" s="1" t="s">
        <v>12</v>
      </c>
      <c r="C210" s="1" t="s">
        <v>22</v>
      </c>
      <c r="D210" s="1" t="s">
        <v>93</v>
      </c>
      <c r="E210" s="1">
        <v>2008</v>
      </c>
      <c r="F210" s="1" t="s">
        <v>251</v>
      </c>
      <c r="G210" s="1">
        <v>6</v>
      </c>
      <c r="H210" s="1" t="s">
        <v>47</v>
      </c>
    </row>
    <row r="211" spans="1:9" x14ac:dyDescent="0.3">
      <c r="A211" s="7">
        <v>46265</v>
      </c>
      <c r="B211" s="1" t="s">
        <v>12</v>
      </c>
      <c r="C211" s="1" t="s">
        <v>22</v>
      </c>
      <c r="D211" s="1" t="s">
        <v>354</v>
      </c>
      <c r="E211" s="1">
        <v>2020</v>
      </c>
      <c r="F211" s="1" t="s">
        <v>251</v>
      </c>
      <c r="G211" s="1">
        <v>6</v>
      </c>
      <c r="H211" s="1" t="s">
        <v>47</v>
      </c>
      <c r="I211" s="1" t="s">
        <v>257</v>
      </c>
    </row>
    <row r="212" spans="1:9" x14ac:dyDescent="0.3">
      <c r="A212" s="7">
        <v>46265</v>
      </c>
      <c r="B212" s="1" t="s">
        <v>12</v>
      </c>
      <c r="C212" s="1" t="s">
        <v>22</v>
      </c>
      <c r="D212" s="1" t="s">
        <v>258</v>
      </c>
      <c r="E212" s="1">
        <v>2018</v>
      </c>
      <c r="F212" s="1" t="s">
        <v>251</v>
      </c>
      <c r="G212" s="1">
        <v>6</v>
      </c>
      <c r="H212" s="1" t="s">
        <v>47</v>
      </c>
      <c r="I212" s="1" t="s">
        <v>258</v>
      </c>
    </row>
    <row r="213" spans="1:9" x14ac:dyDescent="0.3">
      <c r="A213" s="7">
        <v>46265</v>
      </c>
      <c r="B213" s="1" t="s">
        <v>12</v>
      </c>
      <c r="C213" s="1" t="s">
        <v>41</v>
      </c>
      <c r="D213" s="1" t="s">
        <v>75</v>
      </c>
      <c r="E213" s="1">
        <v>2006</v>
      </c>
      <c r="F213" s="1" t="s">
        <v>259</v>
      </c>
      <c r="G213" s="1">
        <v>18</v>
      </c>
      <c r="H213" s="1" t="s">
        <v>47</v>
      </c>
      <c r="I213" s="1" t="s">
        <v>260</v>
      </c>
    </row>
    <row r="214" spans="1:9" x14ac:dyDescent="0.3">
      <c r="A214" s="7">
        <v>46265</v>
      </c>
      <c r="B214" s="1" t="s">
        <v>12</v>
      </c>
      <c r="C214" s="1" t="s">
        <v>42</v>
      </c>
      <c r="D214" s="1" t="s">
        <v>261</v>
      </c>
      <c r="E214" s="1">
        <v>2001</v>
      </c>
      <c r="F214" s="1" t="s">
        <v>259</v>
      </c>
      <c r="G214" s="1">
        <v>18</v>
      </c>
      <c r="H214" s="1" t="s">
        <v>47</v>
      </c>
      <c r="I214" s="1" t="s">
        <v>262</v>
      </c>
    </row>
    <row r="215" spans="1:9" x14ac:dyDescent="0.3">
      <c r="A215" s="7">
        <v>46265</v>
      </c>
      <c r="B215" s="1" t="s">
        <v>12</v>
      </c>
      <c r="C215" s="1" t="s">
        <v>42</v>
      </c>
      <c r="D215" s="1" t="s">
        <v>263</v>
      </c>
      <c r="E215" s="1">
        <v>2000</v>
      </c>
      <c r="F215" s="1" t="s">
        <v>259</v>
      </c>
      <c r="G215" s="1">
        <v>6</v>
      </c>
      <c r="H215" s="1" t="s">
        <v>47</v>
      </c>
      <c r="I215" s="1" t="s">
        <v>264</v>
      </c>
    </row>
    <row r="216" spans="1:9" x14ac:dyDescent="0.3">
      <c r="A216" s="7">
        <v>46265</v>
      </c>
      <c r="B216" s="1" t="s">
        <v>12</v>
      </c>
      <c r="C216" s="1" t="s">
        <v>22</v>
      </c>
      <c r="D216" s="1" t="s">
        <v>265</v>
      </c>
      <c r="E216" s="1">
        <v>2009</v>
      </c>
      <c r="F216" s="1" t="s">
        <v>266</v>
      </c>
      <c r="G216" s="1">
        <v>2</v>
      </c>
      <c r="H216" s="1" t="s">
        <v>47</v>
      </c>
      <c r="I216" s="1" t="s">
        <v>65</v>
      </c>
    </row>
    <row r="217" spans="1:9" x14ac:dyDescent="0.3">
      <c r="A217" s="7">
        <v>46265</v>
      </c>
      <c r="B217" s="1" t="s">
        <v>12</v>
      </c>
      <c r="C217" s="1" t="s">
        <v>22</v>
      </c>
      <c r="D217" s="1" t="s">
        <v>267</v>
      </c>
      <c r="E217" s="1">
        <v>2010</v>
      </c>
      <c r="F217" s="1" t="s">
        <v>266</v>
      </c>
      <c r="G217" s="1">
        <v>6</v>
      </c>
      <c r="H217" s="1" t="s">
        <v>47</v>
      </c>
      <c r="I217" s="1" t="s">
        <v>51</v>
      </c>
    </row>
    <row r="218" spans="1:9" x14ac:dyDescent="0.3">
      <c r="A218" s="7">
        <v>46265</v>
      </c>
      <c r="B218" s="1" t="s">
        <v>12</v>
      </c>
      <c r="C218" s="1" t="s">
        <v>22</v>
      </c>
      <c r="D218" s="1" t="s">
        <v>267</v>
      </c>
      <c r="E218" s="1">
        <v>2009</v>
      </c>
      <c r="F218" s="1" t="s">
        <v>266</v>
      </c>
      <c r="G218" s="1">
        <v>6</v>
      </c>
      <c r="H218" s="1" t="s">
        <v>47</v>
      </c>
      <c r="I218" s="1" t="s">
        <v>51</v>
      </c>
    </row>
    <row r="219" spans="1:9" x14ac:dyDescent="0.3">
      <c r="A219" s="7">
        <v>46265</v>
      </c>
      <c r="B219" s="1" t="s">
        <v>12</v>
      </c>
      <c r="C219" s="1" t="s">
        <v>22</v>
      </c>
      <c r="D219" s="1" t="s">
        <v>356</v>
      </c>
      <c r="E219" s="1">
        <v>2000</v>
      </c>
      <c r="F219" s="1" t="s">
        <v>266</v>
      </c>
      <c r="G219" s="1">
        <v>3</v>
      </c>
      <c r="H219" s="1" t="s">
        <v>47</v>
      </c>
      <c r="I219" s="1" t="s">
        <v>51</v>
      </c>
    </row>
    <row r="220" spans="1:9" x14ac:dyDescent="0.3">
      <c r="A220" s="7">
        <v>46265</v>
      </c>
      <c r="B220" s="1" t="s">
        <v>12</v>
      </c>
      <c r="C220" s="1" t="s">
        <v>22</v>
      </c>
      <c r="D220" s="1" t="s">
        <v>356</v>
      </c>
      <c r="E220" s="1">
        <v>2000</v>
      </c>
      <c r="F220" s="1" t="s">
        <v>266</v>
      </c>
      <c r="G220" s="1">
        <v>3</v>
      </c>
      <c r="H220" s="1" t="s">
        <v>47</v>
      </c>
      <c r="I220" s="1" t="s">
        <v>51</v>
      </c>
    </row>
    <row r="221" spans="1:9" x14ac:dyDescent="0.3">
      <c r="A221" s="7">
        <v>46265</v>
      </c>
      <c r="B221" s="1" t="s">
        <v>12</v>
      </c>
      <c r="C221" s="1" t="s">
        <v>22</v>
      </c>
      <c r="D221" s="1" t="s">
        <v>356</v>
      </c>
      <c r="E221" s="1">
        <v>2000</v>
      </c>
      <c r="F221" s="1" t="s">
        <v>266</v>
      </c>
      <c r="G221" s="1">
        <v>3</v>
      </c>
      <c r="H221" s="1" t="s">
        <v>47</v>
      </c>
      <c r="I221" s="1" t="s">
        <v>51</v>
      </c>
    </row>
    <row r="222" spans="1:9" x14ac:dyDescent="0.3">
      <c r="A222" s="7">
        <v>46265</v>
      </c>
      <c r="B222" s="1" t="s">
        <v>12</v>
      </c>
      <c r="C222" s="1" t="s">
        <v>22</v>
      </c>
      <c r="D222" s="1" t="s">
        <v>356</v>
      </c>
      <c r="E222" s="1">
        <v>2000</v>
      </c>
      <c r="F222" s="1" t="s">
        <v>266</v>
      </c>
      <c r="G222" s="1">
        <v>3</v>
      </c>
      <c r="H222" s="1" t="s">
        <v>47</v>
      </c>
      <c r="I222" s="1" t="s">
        <v>51</v>
      </c>
    </row>
    <row r="223" spans="1:9" x14ac:dyDescent="0.3">
      <c r="A223" s="7">
        <v>46265</v>
      </c>
      <c r="B223" s="1" t="s">
        <v>12</v>
      </c>
      <c r="C223" s="1" t="s">
        <v>22</v>
      </c>
      <c r="D223" s="1" t="s">
        <v>356</v>
      </c>
      <c r="E223" s="1">
        <v>2000</v>
      </c>
      <c r="F223" s="1" t="s">
        <v>266</v>
      </c>
      <c r="G223" s="1">
        <v>3</v>
      </c>
      <c r="H223" s="1" t="s">
        <v>47</v>
      </c>
      <c r="I223" s="1" t="s">
        <v>51</v>
      </c>
    </row>
    <row r="224" spans="1:9" x14ac:dyDescent="0.3">
      <c r="A224" s="7">
        <v>46265</v>
      </c>
      <c r="B224" s="1" t="s">
        <v>12</v>
      </c>
      <c r="C224" s="1" t="s">
        <v>22</v>
      </c>
      <c r="D224" s="1" t="s">
        <v>356</v>
      </c>
      <c r="E224" s="1">
        <v>2000</v>
      </c>
      <c r="F224" s="1" t="s">
        <v>266</v>
      </c>
      <c r="G224" s="1">
        <v>3</v>
      </c>
      <c r="H224" s="1" t="s">
        <v>47</v>
      </c>
      <c r="I224" s="1" t="s">
        <v>51</v>
      </c>
    </row>
    <row r="225" spans="1:9" x14ac:dyDescent="0.3">
      <c r="A225" s="7">
        <v>46265</v>
      </c>
      <c r="B225" s="1" t="s">
        <v>12</v>
      </c>
      <c r="C225" s="1" t="s">
        <v>22</v>
      </c>
      <c r="D225" s="1" t="s">
        <v>356</v>
      </c>
      <c r="E225" s="1">
        <v>2000</v>
      </c>
      <c r="F225" s="1" t="s">
        <v>266</v>
      </c>
      <c r="G225" s="1">
        <v>1</v>
      </c>
      <c r="H225" s="1" t="s">
        <v>47</v>
      </c>
      <c r="I225" s="1" t="s">
        <v>51</v>
      </c>
    </row>
    <row r="226" spans="1:9" x14ac:dyDescent="0.3">
      <c r="A226" s="7">
        <v>46265</v>
      </c>
      <c r="B226" s="1" t="s">
        <v>12</v>
      </c>
      <c r="C226" s="1" t="s">
        <v>22</v>
      </c>
      <c r="D226" s="1" t="s">
        <v>268</v>
      </c>
      <c r="E226" s="1">
        <v>2009</v>
      </c>
      <c r="F226" s="1" t="s">
        <v>266</v>
      </c>
      <c r="G226" s="1">
        <v>1</v>
      </c>
      <c r="H226" s="1" t="s">
        <v>47</v>
      </c>
      <c r="I226" s="1" t="s">
        <v>269</v>
      </c>
    </row>
    <row r="227" spans="1:9" x14ac:dyDescent="0.3">
      <c r="A227" s="7">
        <v>46265</v>
      </c>
      <c r="B227" s="1" t="s">
        <v>12</v>
      </c>
      <c r="C227" s="1" t="s">
        <v>22</v>
      </c>
      <c r="D227" s="1" t="s">
        <v>268</v>
      </c>
      <c r="E227" s="1">
        <v>2009</v>
      </c>
      <c r="F227" s="1" t="s">
        <v>266</v>
      </c>
      <c r="G227" s="1">
        <v>1</v>
      </c>
      <c r="H227" s="1" t="s">
        <v>47</v>
      </c>
      <c r="I227" s="1" t="s">
        <v>269</v>
      </c>
    </row>
    <row r="228" spans="1:9" x14ac:dyDescent="0.3">
      <c r="A228" s="7">
        <v>46265</v>
      </c>
      <c r="B228" s="1" t="s">
        <v>12</v>
      </c>
      <c r="C228" s="1" t="s">
        <v>43</v>
      </c>
      <c r="D228" s="1" t="s">
        <v>270</v>
      </c>
      <c r="E228" s="1">
        <v>2012</v>
      </c>
      <c r="F228" s="1" t="s">
        <v>266</v>
      </c>
      <c r="G228" s="1">
        <v>1</v>
      </c>
      <c r="H228" s="1" t="s">
        <v>47</v>
      </c>
      <c r="I228" s="1" t="s">
        <v>51</v>
      </c>
    </row>
    <row r="229" spans="1:9" x14ac:dyDescent="0.3">
      <c r="A229" s="7">
        <v>46265</v>
      </c>
      <c r="B229" s="1" t="s">
        <v>12</v>
      </c>
      <c r="C229" s="1" t="s">
        <v>22</v>
      </c>
      <c r="D229" s="1" t="s">
        <v>35</v>
      </c>
      <c r="E229" s="1">
        <v>2018</v>
      </c>
      <c r="F229" s="1" t="s">
        <v>266</v>
      </c>
      <c r="G229" s="1">
        <v>12</v>
      </c>
      <c r="H229" s="1" t="s">
        <v>47</v>
      </c>
      <c r="I229" s="1" t="s">
        <v>271</v>
      </c>
    </row>
    <row r="230" spans="1:9" x14ac:dyDescent="0.3">
      <c r="A230" s="7">
        <v>46265</v>
      </c>
      <c r="B230" s="1" t="s">
        <v>12</v>
      </c>
      <c r="C230" s="1" t="s">
        <v>22</v>
      </c>
      <c r="D230" s="1" t="s">
        <v>272</v>
      </c>
      <c r="E230" s="1">
        <v>2018</v>
      </c>
      <c r="F230" s="1" t="s">
        <v>266</v>
      </c>
      <c r="G230" s="1">
        <v>12</v>
      </c>
      <c r="H230" s="1" t="s">
        <v>47</v>
      </c>
      <c r="I230" s="1" t="s">
        <v>273</v>
      </c>
    </row>
    <row r="231" spans="1:9" x14ac:dyDescent="0.3">
      <c r="A231" s="7">
        <v>46265</v>
      </c>
      <c r="B231" s="1" t="s">
        <v>12</v>
      </c>
      <c r="C231" s="1" t="s">
        <v>22</v>
      </c>
      <c r="D231" s="1" t="s">
        <v>274</v>
      </c>
      <c r="E231" s="1">
        <v>2019</v>
      </c>
      <c r="F231" s="1" t="s">
        <v>275</v>
      </c>
      <c r="G231" s="1">
        <v>1</v>
      </c>
      <c r="H231" s="1" t="s">
        <v>47</v>
      </c>
      <c r="I231" s="1" t="s">
        <v>276</v>
      </c>
    </row>
    <row r="232" spans="1:9" x14ac:dyDescent="0.3">
      <c r="A232" s="7">
        <v>46265</v>
      </c>
      <c r="B232" s="1" t="s">
        <v>12</v>
      </c>
      <c r="C232" s="1" t="s">
        <v>22</v>
      </c>
      <c r="D232" s="1" t="s">
        <v>134</v>
      </c>
      <c r="E232" s="1">
        <v>2002</v>
      </c>
      <c r="F232" s="1" t="s">
        <v>275</v>
      </c>
      <c r="G232" s="1">
        <v>3</v>
      </c>
      <c r="H232" s="1" t="s">
        <v>47</v>
      </c>
      <c r="I232" s="1" t="s">
        <v>70</v>
      </c>
    </row>
    <row r="233" spans="1:9" x14ac:dyDescent="0.3">
      <c r="A233" s="7">
        <v>46265</v>
      </c>
      <c r="B233" s="1" t="s">
        <v>12</v>
      </c>
      <c r="C233" s="1" t="s">
        <v>22</v>
      </c>
      <c r="D233" s="1" t="s">
        <v>134</v>
      </c>
      <c r="E233" s="1">
        <v>2000</v>
      </c>
      <c r="F233" s="1" t="s">
        <v>275</v>
      </c>
      <c r="G233" s="1">
        <v>2</v>
      </c>
      <c r="H233" s="1" t="s">
        <v>47</v>
      </c>
      <c r="I233" s="1" t="s">
        <v>70</v>
      </c>
    </row>
    <row r="234" spans="1:9" x14ac:dyDescent="0.3">
      <c r="A234" s="7">
        <v>46265</v>
      </c>
      <c r="B234" s="1" t="s">
        <v>12</v>
      </c>
      <c r="C234" s="1" t="s">
        <v>22</v>
      </c>
      <c r="D234" s="1" t="s">
        <v>136</v>
      </c>
      <c r="E234" s="1">
        <v>2004</v>
      </c>
      <c r="F234" s="1" t="s">
        <v>275</v>
      </c>
      <c r="G234" s="1">
        <v>3</v>
      </c>
      <c r="H234" s="1" t="s">
        <v>47</v>
      </c>
      <c r="I234" s="1" t="s">
        <v>51</v>
      </c>
    </row>
    <row r="235" spans="1:9" x14ac:dyDescent="0.3">
      <c r="A235" s="7">
        <v>46265</v>
      </c>
      <c r="B235" s="1" t="s">
        <v>12</v>
      </c>
      <c r="C235" s="1" t="s">
        <v>22</v>
      </c>
      <c r="D235" s="1" t="s">
        <v>136</v>
      </c>
      <c r="E235" s="1">
        <v>2003</v>
      </c>
      <c r="F235" s="1" t="s">
        <v>275</v>
      </c>
      <c r="G235" s="1">
        <v>1</v>
      </c>
      <c r="H235" s="1" t="s">
        <v>47</v>
      </c>
      <c r="I235" s="1" t="s">
        <v>51</v>
      </c>
    </row>
    <row r="236" spans="1:9" x14ac:dyDescent="0.3">
      <c r="A236" s="7">
        <v>46265</v>
      </c>
      <c r="B236" s="1" t="s">
        <v>12</v>
      </c>
      <c r="C236" s="1" t="s">
        <v>22</v>
      </c>
      <c r="D236" s="1" t="s">
        <v>358</v>
      </c>
      <c r="E236" s="1">
        <v>2002</v>
      </c>
      <c r="F236" s="1" t="s">
        <v>275</v>
      </c>
      <c r="G236" s="1">
        <v>1</v>
      </c>
      <c r="H236" s="1" t="s">
        <v>47</v>
      </c>
      <c r="I236" s="1" t="s">
        <v>70</v>
      </c>
    </row>
    <row r="237" spans="1:9" x14ac:dyDescent="0.3">
      <c r="A237" s="7">
        <v>46265</v>
      </c>
      <c r="B237" s="1" t="s">
        <v>12</v>
      </c>
      <c r="C237" s="1" t="s">
        <v>22</v>
      </c>
      <c r="D237" s="1" t="s">
        <v>359</v>
      </c>
      <c r="E237" s="1">
        <v>2002</v>
      </c>
      <c r="F237" s="1" t="s">
        <v>275</v>
      </c>
      <c r="G237" s="1">
        <v>1</v>
      </c>
      <c r="H237" s="1" t="s">
        <v>47</v>
      </c>
      <c r="I237" s="1" t="s">
        <v>70</v>
      </c>
    </row>
    <row r="238" spans="1:9" x14ac:dyDescent="0.3">
      <c r="A238" s="7">
        <v>46265</v>
      </c>
      <c r="B238" s="1" t="s">
        <v>12</v>
      </c>
      <c r="C238" s="1" t="s">
        <v>22</v>
      </c>
      <c r="D238" s="1" t="s">
        <v>359</v>
      </c>
      <c r="E238" s="1">
        <v>2000</v>
      </c>
      <c r="F238" s="1" t="s">
        <v>275</v>
      </c>
      <c r="G238" s="1">
        <v>1</v>
      </c>
      <c r="H238" s="1" t="s">
        <v>47</v>
      </c>
      <c r="I238" s="1" t="s">
        <v>70</v>
      </c>
    </row>
    <row r="239" spans="1:9" x14ac:dyDescent="0.3">
      <c r="A239" s="7">
        <v>46265</v>
      </c>
      <c r="B239" s="1" t="s">
        <v>12</v>
      </c>
      <c r="C239" s="1" t="s">
        <v>43</v>
      </c>
      <c r="D239" s="1" t="s">
        <v>165</v>
      </c>
      <c r="E239" s="1">
        <v>2022</v>
      </c>
      <c r="F239" s="1" t="s">
        <v>275</v>
      </c>
      <c r="G239" s="1">
        <v>1</v>
      </c>
      <c r="H239" s="1" t="s">
        <v>47</v>
      </c>
    </row>
    <row r="240" spans="1:9" x14ac:dyDescent="0.3">
      <c r="A240" s="7">
        <v>46265</v>
      </c>
      <c r="B240" s="1" t="s">
        <v>12</v>
      </c>
      <c r="C240" s="1" t="s">
        <v>22</v>
      </c>
      <c r="D240" s="1" t="s">
        <v>277</v>
      </c>
      <c r="E240" s="1">
        <v>2021</v>
      </c>
      <c r="F240" s="1" t="s">
        <v>278</v>
      </c>
      <c r="G240" s="1">
        <v>1</v>
      </c>
      <c r="H240" s="1" t="s">
        <v>47</v>
      </c>
      <c r="I240" s="1" t="s">
        <v>279</v>
      </c>
    </row>
    <row r="241" spans="1:9" x14ac:dyDescent="0.3">
      <c r="A241" s="7">
        <v>46265</v>
      </c>
      <c r="B241" s="1" t="s">
        <v>12</v>
      </c>
      <c r="C241" s="1" t="s">
        <v>22</v>
      </c>
      <c r="D241" s="1" t="s">
        <v>280</v>
      </c>
      <c r="E241" s="1">
        <v>2021</v>
      </c>
      <c r="F241" s="1" t="s">
        <v>278</v>
      </c>
      <c r="G241" s="1">
        <v>1</v>
      </c>
      <c r="H241" s="1" t="s">
        <v>47</v>
      </c>
      <c r="I241" s="1" t="s">
        <v>281</v>
      </c>
    </row>
    <row r="242" spans="1:9" x14ac:dyDescent="0.3">
      <c r="A242" s="7">
        <v>46265</v>
      </c>
      <c r="B242" s="1" t="s">
        <v>12</v>
      </c>
      <c r="C242" s="1" t="s">
        <v>22</v>
      </c>
      <c r="D242" s="1" t="s">
        <v>282</v>
      </c>
      <c r="E242" s="1">
        <v>2019</v>
      </c>
      <c r="F242" s="1" t="s">
        <v>278</v>
      </c>
      <c r="G242" s="1">
        <v>3</v>
      </c>
      <c r="H242" s="1" t="s">
        <v>47</v>
      </c>
    </row>
    <row r="243" spans="1:9" x14ac:dyDescent="0.3">
      <c r="A243" s="7">
        <v>46265</v>
      </c>
      <c r="B243" s="1" t="s">
        <v>12</v>
      </c>
      <c r="C243" s="1" t="s">
        <v>39</v>
      </c>
      <c r="D243" s="1" t="s">
        <v>106</v>
      </c>
      <c r="E243" s="1" t="s">
        <v>53</v>
      </c>
      <c r="F243" s="1" t="s">
        <v>278</v>
      </c>
      <c r="G243" s="1">
        <v>2</v>
      </c>
      <c r="H243" s="1" t="s">
        <v>47</v>
      </c>
    </row>
    <row r="244" spans="1:9" x14ac:dyDescent="0.3">
      <c r="A244" s="7">
        <v>46265</v>
      </c>
      <c r="B244" s="1" t="s">
        <v>12</v>
      </c>
      <c r="C244" s="1" t="s">
        <v>22</v>
      </c>
      <c r="D244" s="1" t="s">
        <v>283</v>
      </c>
      <c r="E244" s="1">
        <v>2018</v>
      </c>
      <c r="F244" s="1" t="s">
        <v>278</v>
      </c>
      <c r="G244" s="1">
        <v>4</v>
      </c>
      <c r="H244" s="1" t="s">
        <v>47</v>
      </c>
      <c r="I244" s="1" t="s">
        <v>284</v>
      </c>
    </row>
    <row r="245" spans="1:9" x14ac:dyDescent="0.3">
      <c r="A245" s="7">
        <v>46265</v>
      </c>
      <c r="B245" s="1" t="s">
        <v>12</v>
      </c>
      <c r="C245" s="1" t="s">
        <v>22</v>
      </c>
      <c r="D245" s="1" t="s">
        <v>285</v>
      </c>
      <c r="E245" s="1">
        <v>2019</v>
      </c>
      <c r="F245" s="1" t="s">
        <v>278</v>
      </c>
      <c r="G245" s="1">
        <v>2</v>
      </c>
      <c r="H245" s="1" t="s">
        <v>47</v>
      </c>
    </row>
    <row r="246" spans="1:9" x14ac:dyDescent="0.3">
      <c r="A246" s="7">
        <v>46265</v>
      </c>
      <c r="B246" s="1" t="s">
        <v>12</v>
      </c>
      <c r="C246" s="1" t="s">
        <v>43</v>
      </c>
      <c r="D246" s="1" t="s">
        <v>286</v>
      </c>
      <c r="E246" s="1">
        <v>2014</v>
      </c>
      <c r="F246" s="1" t="s">
        <v>278</v>
      </c>
      <c r="G246" s="1">
        <v>3</v>
      </c>
      <c r="H246" s="1" t="s">
        <v>47</v>
      </c>
      <c r="I246" s="1" t="s">
        <v>287</v>
      </c>
    </row>
    <row r="247" spans="1:9" x14ac:dyDescent="0.3">
      <c r="A247" s="7">
        <v>46265</v>
      </c>
      <c r="B247" s="1" t="s">
        <v>12</v>
      </c>
      <c r="C247" s="1" t="s">
        <v>39</v>
      </c>
      <c r="D247" s="1" t="s">
        <v>288</v>
      </c>
      <c r="E247" s="1">
        <v>2010</v>
      </c>
      <c r="F247" s="1" t="s">
        <v>278</v>
      </c>
      <c r="G247" s="1">
        <v>4</v>
      </c>
      <c r="H247" s="1" t="s">
        <v>47</v>
      </c>
      <c r="I247" s="1" t="s">
        <v>289</v>
      </c>
    </row>
    <row r="248" spans="1:9" x14ac:dyDescent="0.3">
      <c r="A248" s="7">
        <v>46265</v>
      </c>
      <c r="B248" s="1" t="s">
        <v>12</v>
      </c>
      <c r="C248" s="1" t="s">
        <v>43</v>
      </c>
      <c r="D248" s="1" t="s">
        <v>290</v>
      </c>
      <c r="E248" s="1">
        <v>2005</v>
      </c>
      <c r="F248" s="1" t="s">
        <v>278</v>
      </c>
      <c r="G248" s="1">
        <v>1</v>
      </c>
      <c r="H248" s="1" t="s">
        <v>47</v>
      </c>
      <c r="I248" s="1" t="s">
        <v>51</v>
      </c>
    </row>
    <row r="249" spans="1:9" x14ac:dyDescent="0.3">
      <c r="A249" s="7">
        <v>46265</v>
      </c>
      <c r="B249" s="1" t="s">
        <v>12</v>
      </c>
      <c r="C249" s="1" t="s">
        <v>39</v>
      </c>
      <c r="D249" s="1" t="s">
        <v>106</v>
      </c>
      <c r="E249" s="1">
        <v>2009</v>
      </c>
      <c r="F249" s="1" t="s">
        <v>291</v>
      </c>
      <c r="G249" s="1">
        <v>6</v>
      </c>
      <c r="H249" s="1" t="s">
        <v>47</v>
      </c>
    </row>
    <row r="250" spans="1:9" x14ac:dyDescent="0.3">
      <c r="A250" s="7">
        <v>46265</v>
      </c>
      <c r="B250" s="1" t="s">
        <v>12</v>
      </c>
      <c r="C250" s="1" t="s">
        <v>39</v>
      </c>
      <c r="D250" s="1" t="s">
        <v>106</v>
      </c>
      <c r="E250" s="1">
        <v>2012</v>
      </c>
      <c r="F250" s="1" t="s">
        <v>291</v>
      </c>
      <c r="G250" s="1">
        <v>6</v>
      </c>
      <c r="H250" s="1" t="s">
        <v>47</v>
      </c>
    </row>
    <row r="251" spans="1:9" x14ac:dyDescent="0.3">
      <c r="A251" s="7">
        <v>46265</v>
      </c>
      <c r="B251" s="1" t="s">
        <v>12</v>
      </c>
      <c r="C251" s="1" t="s">
        <v>39</v>
      </c>
      <c r="D251" s="1" t="s">
        <v>106</v>
      </c>
      <c r="E251" s="1">
        <v>2012</v>
      </c>
      <c r="F251" s="1" t="s">
        <v>291</v>
      </c>
      <c r="G251" s="1">
        <v>4</v>
      </c>
      <c r="H251" s="1" t="s">
        <v>47</v>
      </c>
    </row>
    <row r="252" spans="1:9" x14ac:dyDescent="0.3">
      <c r="A252" s="7">
        <v>46265</v>
      </c>
      <c r="B252" s="1" t="s">
        <v>12</v>
      </c>
      <c r="C252" s="1" t="s">
        <v>22</v>
      </c>
      <c r="D252" s="1" t="s">
        <v>36</v>
      </c>
      <c r="E252" s="1">
        <v>2002</v>
      </c>
      <c r="F252" s="1" t="s">
        <v>291</v>
      </c>
      <c r="G252" s="1">
        <v>4</v>
      </c>
      <c r="H252" s="1" t="s">
        <v>47</v>
      </c>
      <c r="I252" s="1" t="s">
        <v>70</v>
      </c>
    </row>
    <row r="253" spans="1:9" x14ac:dyDescent="0.3">
      <c r="A253" s="7">
        <v>46265</v>
      </c>
      <c r="B253" s="1" t="s">
        <v>12</v>
      </c>
      <c r="C253" s="1" t="s">
        <v>22</v>
      </c>
      <c r="D253" s="1" t="s">
        <v>36</v>
      </c>
      <c r="E253" s="1">
        <v>1999</v>
      </c>
      <c r="F253" s="1" t="s">
        <v>291</v>
      </c>
      <c r="G253" s="1">
        <v>2</v>
      </c>
      <c r="H253" s="1" t="s">
        <v>47</v>
      </c>
      <c r="I253" s="1" t="s">
        <v>70</v>
      </c>
    </row>
    <row r="254" spans="1:9" x14ac:dyDescent="0.3">
      <c r="A254" s="7">
        <v>46265</v>
      </c>
      <c r="B254" s="1" t="s">
        <v>12</v>
      </c>
      <c r="C254" s="1" t="s">
        <v>43</v>
      </c>
      <c r="D254" s="1" t="s">
        <v>292</v>
      </c>
      <c r="E254" s="1">
        <v>2014</v>
      </c>
      <c r="F254" s="1" t="s">
        <v>291</v>
      </c>
      <c r="G254" s="1">
        <v>1</v>
      </c>
      <c r="H254" s="1" t="s">
        <v>47</v>
      </c>
      <c r="I254" s="1" t="s">
        <v>51</v>
      </c>
    </row>
    <row r="255" spans="1:9" x14ac:dyDescent="0.3">
      <c r="A255" s="7">
        <v>46265</v>
      </c>
      <c r="B255" s="1" t="s">
        <v>12</v>
      </c>
      <c r="C255" s="1" t="s">
        <v>43</v>
      </c>
      <c r="D255" s="1" t="s">
        <v>292</v>
      </c>
      <c r="E255" s="1">
        <v>2013</v>
      </c>
      <c r="F255" s="1" t="s">
        <v>291</v>
      </c>
      <c r="G255" s="1">
        <v>1</v>
      </c>
      <c r="H255" s="1" t="s">
        <v>47</v>
      </c>
      <c r="I255" s="1" t="s">
        <v>51</v>
      </c>
    </row>
    <row r="256" spans="1:9" x14ac:dyDescent="0.3">
      <c r="A256" s="7">
        <v>46265</v>
      </c>
      <c r="B256" s="1" t="s">
        <v>12</v>
      </c>
      <c r="C256" s="1" t="s">
        <v>39</v>
      </c>
      <c r="D256" s="1" t="s">
        <v>293</v>
      </c>
      <c r="E256" s="1">
        <v>2022</v>
      </c>
      <c r="F256" s="1" t="s">
        <v>291</v>
      </c>
      <c r="G256" s="1">
        <v>2</v>
      </c>
      <c r="H256" s="1" t="s">
        <v>47</v>
      </c>
      <c r="I256" s="1" t="s">
        <v>294</v>
      </c>
    </row>
    <row r="257" spans="1:9" x14ac:dyDescent="0.3">
      <c r="A257" s="7">
        <v>46265</v>
      </c>
      <c r="B257" s="1" t="s">
        <v>12</v>
      </c>
      <c r="C257" s="1" t="s">
        <v>39</v>
      </c>
      <c r="D257" s="1" t="s">
        <v>351</v>
      </c>
      <c r="E257" s="1">
        <v>2010</v>
      </c>
      <c r="F257" s="1" t="s">
        <v>291</v>
      </c>
      <c r="G257" s="1">
        <v>1</v>
      </c>
      <c r="H257" s="1" t="s">
        <v>47</v>
      </c>
      <c r="I257" s="1" t="s">
        <v>295</v>
      </c>
    </row>
    <row r="258" spans="1:9" x14ac:dyDescent="0.3">
      <c r="A258" s="7">
        <v>46265</v>
      </c>
      <c r="B258" s="1" t="s">
        <v>12</v>
      </c>
      <c r="C258" s="1" t="s">
        <v>22</v>
      </c>
      <c r="D258" s="1" t="s">
        <v>296</v>
      </c>
      <c r="E258" s="1">
        <v>2004</v>
      </c>
      <c r="F258" s="1" t="s">
        <v>291</v>
      </c>
      <c r="G258" s="1">
        <v>1</v>
      </c>
      <c r="H258" s="1" t="s">
        <v>47</v>
      </c>
      <c r="I258" s="1" t="s">
        <v>182</v>
      </c>
    </row>
    <row r="259" spans="1:9" x14ac:dyDescent="0.3">
      <c r="A259" s="7">
        <v>46265</v>
      </c>
      <c r="B259" s="1" t="s">
        <v>12</v>
      </c>
      <c r="C259" s="1" t="s">
        <v>43</v>
      </c>
      <c r="D259" s="1" t="s">
        <v>297</v>
      </c>
      <c r="E259" s="1">
        <v>2021</v>
      </c>
      <c r="F259" s="1" t="s">
        <v>291</v>
      </c>
      <c r="G259" s="1">
        <v>1</v>
      </c>
      <c r="H259" s="1" t="s">
        <v>47</v>
      </c>
      <c r="I259" s="1" t="s">
        <v>252</v>
      </c>
    </row>
    <row r="260" spans="1:9" x14ac:dyDescent="0.3">
      <c r="A260" s="7">
        <v>46265</v>
      </c>
      <c r="B260" s="1" t="s">
        <v>12</v>
      </c>
      <c r="C260" s="1" t="s">
        <v>22</v>
      </c>
      <c r="D260" s="1" t="s">
        <v>298</v>
      </c>
      <c r="E260" s="1" t="s">
        <v>53</v>
      </c>
      <c r="F260" s="1" t="s">
        <v>299</v>
      </c>
      <c r="G260" s="1">
        <v>2</v>
      </c>
      <c r="H260" s="1" t="s">
        <v>47</v>
      </c>
      <c r="I260" s="1" t="s">
        <v>70</v>
      </c>
    </row>
    <row r="261" spans="1:9" x14ac:dyDescent="0.3">
      <c r="A261" s="7">
        <v>46265</v>
      </c>
      <c r="B261" s="1" t="s">
        <v>12</v>
      </c>
      <c r="C261" s="1" t="s">
        <v>22</v>
      </c>
      <c r="D261" s="1" t="s">
        <v>300</v>
      </c>
      <c r="E261" s="1">
        <v>2004</v>
      </c>
      <c r="F261" s="1" t="s">
        <v>299</v>
      </c>
      <c r="G261" s="1">
        <v>3</v>
      </c>
      <c r="H261" s="1" t="s">
        <v>47</v>
      </c>
      <c r="I261" s="1" t="s">
        <v>70</v>
      </c>
    </row>
    <row r="262" spans="1:9" x14ac:dyDescent="0.3">
      <c r="A262" s="7">
        <v>46265</v>
      </c>
      <c r="B262" s="1" t="s">
        <v>12</v>
      </c>
      <c r="C262" s="1" t="s">
        <v>22</v>
      </c>
      <c r="D262" s="1" t="s">
        <v>301</v>
      </c>
      <c r="E262" s="1">
        <v>2017</v>
      </c>
      <c r="F262" s="1" t="s">
        <v>299</v>
      </c>
      <c r="G262" s="1">
        <v>1</v>
      </c>
      <c r="H262" s="1" t="s">
        <v>47</v>
      </c>
      <c r="I262" s="1" t="s">
        <v>51</v>
      </c>
    </row>
    <row r="263" spans="1:9" x14ac:dyDescent="0.3">
      <c r="A263" s="7">
        <v>46265</v>
      </c>
      <c r="B263" s="1" t="s">
        <v>12</v>
      </c>
      <c r="C263" s="1" t="s">
        <v>22</v>
      </c>
      <c r="D263" s="1" t="s">
        <v>302</v>
      </c>
      <c r="E263" s="1">
        <v>2018</v>
      </c>
      <c r="F263" s="1" t="s">
        <v>299</v>
      </c>
      <c r="G263" s="1">
        <v>1</v>
      </c>
      <c r="H263" s="1" t="s">
        <v>47</v>
      </c>
      <c r="I263" s="1" t="s">
        <v>51</v>
      </c>
    </row>
    <row r="264" spans="1:9" x14ac:dyDescent="0.3">
      <c r="A264" s="7">
        <v>46265</v>
      </c>
      <c r="B264" s="1" t="s">
        <v>12</v>
      </c>
      <c r="C264" s="1" t="s">
        <v>39</v>
      </c>
      <c r="D264" s="1" t="s">
        <v>303</v>
      </c>
      <c r="E264" s="1">
        <v>2012</v>
      </c>
      <c r="F264" s="1" t="s">
        <v>299</v>
      </c>
      <c r="G264" s="1">
        <v>3</v>
      </c>
      <c r="H264" s="1" t="s">
        <v>47</v>
      </c>
    </row>
    <row r="265" spans="1:9" x14ac:dyDescent="0.3">
      <c r="A265" s="7">
        <v>46265</v>
      </c>
      <c r="B265" s="1" t="s">
        <v>12</v>
      </c>
      <c r="C265" s="1" t="s">
        <v>39</v>
      </c>
      <c r="D265" s="1" t="s">
        <v>303</v>
      </c>
      <c r="E265" s="1">
        <v>2010</v>
      </c>
      <c r="F265" s="1" t="s">
        <v>299</v>
      </c>
      <c r="G265" s="1">
        <v>4</v>
      </c>
      <c r="H265" s="1" t="s">
        <v>47</v>
      </c>
    </row>
    <row r="266" spans="1:9" x14ac:dyDescent="0.3">
      <c r="A266" s="7">
        <v>46265</v>
      </c>
      <c r="B266" s="1" t="s">
        <v>12</v>
      </c>
      <c r="C266" s="1" t="s">
        <v>39</v>
      </c>
      <c r="D266" s="1" t="s">
        <v>303</v>
      </c>
      <c r="E266" s="1">
        <v>2013</v>
      </c>
      <c r="F266" s="1" t="s">
        <v>299</v>
      </c>
      <c r="G266" s="1">
        <v>2</v>
      </c>
      <c r="H266" s="1" t="s">
        <v>47</v>
      </c>
    </row>
    <row r="267" spans="1:9" x14ac:dyDescent="0.3">
      <c r="A267" s="7">
        <v>46265</v>
      </c>
      <c r="B267" s="1" t="s">
        <v>12</v>
      </c>
      <c r="C267" s="1" t="s">
        <v>39</v>
      </c>
      <c r="D267" s="1" t="s">
        <v>303</v>
      </c>
      <c r="E267" s="1">
        <v>2014</v>
      </c>
      <c r="F267" s="1" t="s">
        <v>299</v>
      </c>
      <c r="G267" s="1">
        <v>2</v>
      </c>
      <c r="H267" s="1" t="s">
        <v>47</v>
      </c>
    </row>
    <row r="268" spans="1:9" x14ac:dyDescent="0.3">
      <c r="A268" s="7">
        <v>46265</v>
      </c>
      <c r="B268" s="1" t="s">
        <v>12</v>
      </c>
      <c r="C268" s="1" t="s">
        <v>39</v>
      </c>
      <c r="D268" s="1" t="s">
        <v>303</v>
      </c>
      <c r="E268" s="1">
        <v>2006</v>
      </c>
      <c r="F268" s="1" t="s">
        <v>299</v>
      </c>
      <c r="G268" s="1">
        <v>2</v>
      </c>
      <c r="H268" s="1" t="s">
        <v>47</v>
      </c>
    </row>
    <row r="269" spans="1:9" x14ac:dyDescent="0.3">
      <c r="A269" s="7">
        <v>46265</v>
      </c>
      <c r="B269" s="1" t="s">
        <v>12</v>
      </c>
      <c r="C269" s="1" t="s">
        <v>43</v>
      </c>
      <c r="D269" s="1" t="s">
        <v>304</v>
      </c>
      <c r="E269" s="1">
        <v>2007</v>
      </c>
      <c r="F269" s="1" t="s">
        <v>299</v>
      </c>
      <c r="G269" s="1">
        <v>2</v>
      </c>
      <c r="H269" s="1" t="s">
        <v>47</v>
      </c>
    </row>
    <row r="270" spans="1:9" x14ac:dyDescent="0.3">
      <c r="A270" s="7">
        <v>46265</v>
      </c>
      <c r="B270" s="1" t="s">
        <v>12</v>
      </c>
      <c r="C270" s="1" t="s">
        <v>43</v>
      </c>
      <c r="D270" s="1" t="s">
        <v>304</v>
      </c>
      <c r="E270" s="1">
        <v>2012</v>
      </c>
      <c r="F270" s="1" t="s">
        <v>299</v>
      </c>
      <c r="G270" s="1">
        <v>1</v>
      </c>
      <c r="H270" s="1" t="s">
        <v>47</v>
      </c>
    </row>
    <row r="271" spans="1:9" x14ac:dyDescent="0.3">
      <c r="A271" s="7">
        <v>46265</v>
      </c>
      <c r="B271" s="1" t="s">
        <v>12</v>
      </c>
      <c r="C271" s="1" t="s">
        <v>22</v>
      </c>
      <c r="D271" s="1" t="s">
        <v>298</v>
      </c>
      <c r="E271" s="1" t="s">
        <v>53</v>
      </c>
      <c r="F271" s="1" t="s">
        <v>305</v>
      </c>
      <c r="G271" s="1">
        <v>2</v>
      </c>
      <c r="H271" s="1" t="s">
        <v>47</v>
      </c>
      <c r="I271" s="1" t="s">
        <v>70</v>
      </c>
    </row>
    <row r="272" spans="1:9" x14ac:dyDescent="0.3">
      <c r="A272" s="7">
        <v>46265</v>
      </c>
      <c r="B272" s="1" t="s">
        <v>12</v>
      </c>
      <c r="C272" s="1" t="s">
        <v>22</v>
      </c>
      <c r="D272" s="1" t="s">
        <v>306</v>
      </c>
      <c r="E272" s="1">
        <v>2006</v>
      </c>
      <c r="F272" s="1" t="s">
        <v>305</v>
      </c>
      <c r="G272" s="1">
        <v>1</v>
      </c>
      <c r="H272" s="1" t="s">
        <v>47</v>
      </c>
      <c r="I272" s="1" t="s">
        <v>307</v>
      </c>
    </row>
    <row r="273" spans="1:9" x14ac:dyDescent="0.3">
      <c r="A273" s="7">
        <v>46265</v>
      </c>
      <c r="B273" s="1" t="s">
        <v>12</v>
      </c>
      <c r="C273" s="1" t="s">
        <v>39</v>
      </c>
      <c r="D273" s="1" t="s">
        <v>106</v>
      </c>
      <c r="E273" s="1">
        <v>2006</v>
      </c>
      <c r="F273" s="1" t="s">
        <v>305</v>
      </c>
      <c r="G273" s="1">
        <v>1</v>
      </c>
      <c r="H273" s="1" t="s">
        <v>47</v>
      </c>
    </row>
    <row r="274" spans="1:9" x14ac:dyDescent="0.3">
      <c r="A274" s="7">
        <v>46265</v>
      </c>
      <c r="B274" s="1" t="s">
        <v>12</v>
      </c>
      <c r="C274" s="1" t="s">
        <v>39</v>
      </c>
      <c r="D274" s="1" t="s">
        <v>106</v>
      </c>
      <c r="E274" s="1">
        <v>2002</v>
      </c>
      <c r="F274" s="1" t="s">
        <v>305</v>
      </c>
      <c r="G274" s="1">
        <v>1</v>
      </c>
      <c r="H274" s="1" t="s">
        <v>47</v>
      </c>
    </row>
    <row r="275" spans="1:9" x14ac:dyDescent="0.3">
      <c r="A275" s="7">
        <v>46265</v>
      </c>
      <c r="B275" s="1" t="s">
        <v>12</v>
      </c>
      <c r="C275" s="1" t="s">
        <v>22</v>
      </c>
      <c r="D275" s="1" t="s">
        <v>363</v>
      </c>
      <c r="E275" s="1">
        <v>2002</v>
      </c>
      <c r="F275" s="1" t="s">
        <v>305</v>
      </c>
      <c r="G275" s="1">
        <v>1</v>
      </c>
      <c r="H275" s="1" t="s">
        <v>47</v>
      </c>
      <c r="I275" s="1" t="s">
        <v>308</v>
      </c>
    </row>
    <row r="276" spans="1:9" x14ac:dyDescent="0.3">
      <c r="A276" s="7">
        <v>46265</v>
      </c>
      <c r="B276" s="1" t="s">
        <v>12</v>
      </c>
      <c r="C276" s="1" t="s">
        <v>22</v>
      </c>
      <c r="D276" s="1" t="s">
        <v>363</v>
      </c>
      <c r="E276" s="1">
        <v>2006</v>
      </c>
      <c r="F276" s="1" t="s">
        <v>305</v>
      </c>
      <c r="G276" s="1">
        <v>2</v>
      </c>
      <c r="H276" s="1" t="s">
        <v>47</v>
      </c>
      <c r="I276" s="1" t="s">
        <v>308</v>
      </c>
    </row>
    <row r="277" spans="1:9" x14ac:dyDescent="0.3">
      <c r="A277" s="7">
        <v>46265</v>
      </c>
      <c r="B277" s="1" t="s">
        <v>12</v>
      </c>
      <c r="C277" s="1" t="s">
        <v>22</v>
      </c>
      <c r="D277" s="1" t="s">
        <v>363</v>
      </c>
      <c r="E277" s="1">
        <v>2012</v>
      </c>
      <c r="F277" s="1" t="s">
        <v>305</v>
      </c>
      <c r="G277" s="1">
        <v>2</v>
      </c>
      <c r="H277" s="1" t="s">
        <v>47</v>
      </c>
      <c r="I277" s="1" t="s">
        <v>308</v>
      </c>
    </row>
    <row r="278" spans="1:9" x14ac:dyDescent="0.3">
      <c r="A278" s="7">
        <v>46265</v>
      </c>
      <c r="B278" s="1" t="s">
        <v>12</v>
      </c>
      <c r="C278" s="1" t="s">
        <v>22</v>
      </c>
      <c r="D278" s="1" t="s">
        <v>363</v>
      </c>
      <c r="E278" s="1">
        <v>2011</v>
      </c>
      <c r="F278" s="1" t="s">
        <v>305</v>
      </c>
      <c r="G278" s="1">
        <v>1</v>
      </c>
      <c r="H278" s="1" t="s">
        <v>47</v>
      </c>
      <c r="I278" s="1" t="s">
        <v>308</v>
      </c>
    </row>
    <row r="279" spans="1:9" x14ac:dyDescent="0.3">
      <c r="A279" s="7">
        <v>46265</v>
      </c>
      <c r="B279" s="1" t="s">
        <v>12</v>
      </c>
      <c r="C279" s="1" t="s">
        <v>22</v>
      </c>
      <c r="D279" s="1" t="s">
        <v>363</v>
      </c>
      <c r="E279" s="1">
        <v>2004</v>
      </c>
      <c r="F279" s="1" t="s">
        <v>305</v>
      </c>
      <c r="G279" s="1">
        <v>1</v>
      </c>
      <c r="H279" s="1" t="s">
        <v>47</v>
      </c>
      <c r="I279" s="1" t="s">
        <v>308</v>
      </c>
    </row>
    <row r="280" spans="1:9" x14ac:dyDescent="0.3">
      <c r="A280" s="7">
        <v>46265</v>
      </c>
      <c r="B280" s="1" t="s">
        <v>12</v>
      </c>
      <c r="C280" s="1" t="s">
        <v>22</v>
      </c>
      <c r="D280" s="1" t="s">
        <v>309</v>
      </c>
      <c r="E280" s="1">
        <v>2020</v>
      </c>
      <c r="F280" s="1" t="s">
        <v>305</v>
      </c>
      <c r="G280" s="1">
        <v>6</v>
      </c>
      <c r="H280" s="1" t="s">
        <v>47</v>
      </c>
    </row>
    <row r="281" spans="1:9" x14ac:dyDescent="0.3">
      <c r="A281" s="7">
        <v>46265</v>
      </c>
      <c r="B281" s="1" t="s">
        <v>12</v>
      </c>
      <c r="C281" s="1" t="s">
        <v>22</v>
      </c>
      <c r="D281" s="1" t="s">
        <v>310</v>
      </c>
      <c r="E281" s="1">
        <v>2005</v>
      </c>
      <c r="F281" s="1" t="s">
        <v>305</v>
      </c>
      <c r="G281" s="1">
        <v>11</v>
      </c>
      <c r="H281" s="1" t="s">
        <v>47</v>
      </c>
    </row>
    <row r="282" spans="1:9" x14ac:dyDescent="0.3">
      <c r="A282" s="7">
        <v>46265</v>
      </c>
      <c r="B282" s="1" t="s">
        <v>12</v>
      </c>
      <c r="C282" s="1" t="s">
        <v>22</v>
      </c>
      <c r="D282" s="1" t="s">
        <v>311</v>
      </c>
      <c r="E282" s="1">
        <v>2019</v>
      </c>
      <c r="F282" s="1" t="s">
        <v>305</v>
      </c>
      <c r="G282" s="1">
        <v>4</v>
      </c>
      <c r="H282" s="1" t="s">
        <v>47</v>
      </c>
    </row>
    <row r="283" spans="1:9" x14ac:dyDescent="0.3">
      <c r="A283" s="7">
        <v>46265</v>
      </c>
      <c r="B283" s="1" t="s">
        <v>12</v>
      </c>
      <c r="C283" s="1" t="s">
        <v>39</v>
      </c>
      <c r="D283" s="1" t="s">
        <v>312</v>
      </c>
      <c r="E283" s="1">
        <v>2009</v>
      </c>
      <c r="F283" s="1" t="s">
        <v>313</v>
      </c>
      <c r="G283" s="1">
        <v>2</v>
      </c>
      <c r="H283" s="1" t="s">
        <v>47</v>
      </c>
      <c r="I283" s="1" t="s">
        <v>314</v>
      </c>
    </row>
    <row r="284" spans="1:9" x14ac:dyDescent="0.3">
      <c r="A284" s="7">
        <v>46265</v>
      </c>
      <c r="B284" s="1" t="s">
        <v>12</v>
      </c>
      <c r="C284" s="1" t="s">
        <v>43</v>
      </c>
      <c r="D284" s="1" t="s">
        <v>315</v>
      </c>
      <c r="E284" s="1">
        <v>2017</v>
      </c>
      <c r="F284" s="1" t="s">
        <v>313</v>
      </c>
      <c r="G284" s="1">
        <v>1</v>
      </c>
      <c r="H284" s="1" t="s">
        <v>47</v>
      </c>
    </row>
    <row r="285" spans="1:9" x14ac:dyDescent="0.3">
      <c r="A285" s="7">
        <v>46265</v>
      </c>
      <c r="B285" s="1" t="s">
        <v>12</v>
      </c>
      <c r="C285" s="1" t="s">
        <v>22</v>
      </c>
      <c r="D285" s="1" t="s">
        <v>316</v>
      </c>
      <c r="E285" s="1">
        <v>2011</v>
      </c>
      <c r="F285" s="1" t="s">
        <v>313</v>
      </c>
      <c r="G285" s="1">
        <v>1</v>
      </c>
      <c r="H285" s="1" t="s">
        <v>47</v>
      </c>
      <c r="I285" s="1" t="s">
        <v>317</v>
      </c>
    </row>
    <row r="286" spans="1:9" x14ac:dyDescent="0.3">
      <c r="A286" s="7">
        <v>46265</v>
      </c>
      <c r="B286" s="1" t="s">
        <v>12</v>
      </c>
      <c r="C286" s="1" t="s">
        <v>22</v>
      </c>
      <c r="D286" s="1" t="s">
        <v>316</v>
      </c>
      <c r="E286" s="1">
        <v>2006</v>
      </c>
      <c r="F286" s="1" t="s">
        <v>313</v>
      </c>
      <c r="G286" s="1">
        <v>2</v>
      </c>
      <c r="H286" s="1" t="s">
        <v>47</v>
      </c>
      <c r="I286" s="1" t="s">
        <v>317</v>
      </c>
    </row>
    <row r="287" spans="1:9" x14ac:dyDescent="0.3">
      <c r="A287" s="7">
        <v>46265</v>
      </c>
      <c r="B287" s="1" t="s">
        <v>12</v>
      </c>
      <c r="C287" s="1" t="s">
        <v>22</v>
      </c>
      <c r="D287" s="1" t="s">
        <v>318</v>
      </c>
      <c r="E287" s="1">
        <v>2006</v>
      </c>
      <c r="F287" s="1" t="s">
        <v>313</v>
      </c>
      <c r="G287" s="1">
        <v>1</v>
      </c>
      <c r="H287" s="1" t="s">
        <v>47</v>
      </c>
      <c r="I287" s="1" t="s">
        <v>319</v>
      </c>
    </row>
    <row r="288" spans="1:9" x14ac:dyDescent="0.3">
      <c r="A288" s="7">
        <v>46265</v>
      </c>
      <c r="B288" s="1" t="s">
        <v>12</v>
      </c>
      <c r="C288" s="1" t="s">
        <v>22</v>
      </c>
      <c r="D288" s="1" t="s">
        <v>316</v>
      </c>
      <c r="E288" s="1">
        <v>2003</v>
      </c>
      <c r="F288" s="1" t="s">
        <v>313</v>
      </c>
      <c r="G288" s="1">
        <v>1</v>
      </c>
      <c r="H288" s="1" t="s">
        <v>47</v>
      </c>
      <c r="I288" s="1" t="s">
        <v>317</v>
      </c>
    </row>
    <row r="289" spans="1:9" x14ac:dyDescent="0.3">
      <c r="A289" s="7">
        <v>46265</v>
      </c>
      <c r="B289" s="1" t="s">
        <v>12</v>
      </c>
      <c r="C289" s="1" t="s">
        <v>22</v>
      </c>
      <c r="D289" s="1" t="s">
        <v>320</v>
      </c>
      <c r="E289" s="1">
        <v>2012</v>
      </c>
      <c r="F289" s="1" t="s">
        <v>313</v>
      </c>
      <c r="G289" s="1">
        <v>2</v>
      </c>
      <c r="H289" s="1" t="s">
        <v>47</v>
      </c>
      <c r="I289" s="1" t="s">
        <v>321</v>
      </c>
    </row>
    <row r="290" spans="1:9" x14ac:dyDescent="0.3">
      <c r="A290" s="7">
        <v>46265</v>
      </c>
      <c r="B290" s="1" t="s">
        <v>12</v>
      </c>
      <c r="C290" s="1" t="s">
        <v>22</v>
      </c>
      <c r="D290" s="1" t="s">
        <v>320</v>
      </c>
      <c r="E290" s="1">
        <v>2014</v>
      </c>
      <c r="F290" s="1" t="s">
        <v>313</v>
      </c>
      <c r="G290" s="1">
        <v>2</v>
      </c>
      <c r="H290" s="1" t="s">
        <v>47</v>
      </c>
      <c r="I290" s="1" t="s">
        <v>321</v>
      </c>
    </row>
    <row r="291" spans="1:9" x14ac:dyDescent="0.3">
      <c r="A291" s="7">
        <v>46265</v>
      </c>
      <c r="B291" s="1" t="s">
        <v>12</v>
      </c>
      <c r="C291" s="1" t="s">
        <v>22</v>
      </c>
      <c r="D291" s="1" t="s">
        <v>320</v>
      </c>
      <c r="E291" s="1">
        <v>2016</v>
      </c>
      <c r="F291" s="1" t="s">
        <v>313</v>
      </c>
      <c r="G291" s="1">
        <v>1</v>
      </c>
      <c r="H291" s="1" t="s">
        <v>47</v>
      </c>
      <c r="I291" s="1" t="s">
        <v>321</v>
      </c>
    </row>
    <row r="292" spans="1:9" x14ac:dyDescent="0.3">
      <c r="A292" s="7">
        <v>46265</v>
      </c>
      <c r="B292" s="1" t="s">
        <v>12</v>
      </c>
      <c r="C292" s="1" t="s">
        <v>22</v>
      </c>
      <c r="D292" s="1" t="s">
        <v>119</v>
      </c>
      <c r="E292" s="1">
        <v>2000</v>
      </c>
      <c r="F292" s="1" t="s">
        <v>313</v>
      </c>
      <c r="G292" s="1">
        <v>1</v>
      </c>
      <c r="H292" s="1" t="s">
        <v>47</v>
      </c>
      <c r="I292" s="1" t="s">
        <v>120</v>
      </c>
    </row>
    <row r="293" spans="1:9" x14ac:dyDescent="0.3">
      <c r="A293" s="7">
        <v>46265</v>
      </c>
      <c r="B293" s="1" t="s">
        <v>12</v>
      </c>
      <c r="C293" s="1" t="s">
        <v>39</v>
      </c>
      <c r="D293" s="1" t="s">
        <v>349</v>
      </c>
      <c r="E293" s="1">
        <v>2009</v>
      </c>
      <c r="F293" s="1" t="s">
        <v>313</v>
      </c>
      <c r="G293" s="1">
        <v>7</v>
      </c>
      <c r="H293" s="1" t="s">
        <v>47</v>
      </c>
      <c r="I293" s="1" t="s">
        <v>294</v>
      </c>
    </row>
    <row r="294" spans="1:9" x14ac:dyDescent="0.3">
      <c r="A294" s="7">
        <v>46265</v>
      </c>
      <c r="B294" s="1" t="s">
        <v>12</v>
      </c>
      <c r="C294" s="1" t="s">
        <v>39</v>
      </c>
      <c r="D294" s="1" t="s">
        <v>349</v>
      </c>
      <c r="E294" s="1">
        <v>2010</v>
      </c>
      <c r="F294" s="1" t="s">
        <v>313</v>
      </c>
      <c r="G294" s="1">
        <v>3</v>
      </c>
      <c r="H294" s="1" t="s">
        <v>47</v>
      </c>
      <c r="I294" s="1" t="s">
        <v>294</v>
      </c>
    </row>
    <row r="295" spans="1:9" x14ac:dyDescent="0.3">
      <c r="A295" s="7">
        <v>46265</v>
      </c>
      <c r="B295" s="1" t="s">
        <v>12</v>
      </c>
      <c r="C295" s="1" t="s">
        <v>22</v>
      </c>
      <c r="D295" s="1" t="s">
        <v>132</v>
      </c>
      <c r="E295" s="1">
        <v>2003</v>
      </c>
      <c r="F295" s="1" t="s">
        <v>313</v>
      </c>
      <c r="G295" s="1">
        <v>12</v>
      </c>
      <c r="H295" s="1" t="s">
        <v>47</v>
      </c>
    </row>
    <row r="296" spans="1:9" x14ac:dyDescent="0.3">
      <c r="A296" s="7">
        <v>46265</v>
      </c>
      <c r="B296" s="1" t="s">
        <v>12</v>
      </c>
      <c r="C296" s="1" t="s">
        <v>22</v>
      </c>
      <c r="D296" s="1" t="s">
        <v>322</v>
      </c>
      <c r="E296" s="1">
        <v>2019</v>
      </c>
      <c r="F296" s="1" t="s">
        <v>313</v>
      </c>
      <c r="G296" s="1">
        <v>3</v>
      </c>
      <c r="H296" s="1" t="s">
        <v>47</v>
      </c>
    </row>
    <row r="297" spans="1:9" x14ac:dyDescent="0.3">
      <c r="A297" s="7">
        <v>46265</v>
      </c>
      <c r="B297" s="1" t="s">
        <v>12</v>
      </c>
      <c r="C297" s="1" t="s">
        <v>22</v>
      </c>
      <c r="D297" s="1" t="s">
        <v>258</v>
      </c>
      <c r="E297" s="1">
        <v>2018</v>
      </c>
      <c r="F297" s="1" t="s">
        <v>313</v>
      </c>
      <c r="G297" s="1">
        <v>4</v>
      </c>
      <c r="H297" s="1" t="s">
        <v>47</v>
      </c>
    </row>
    <row r="298" spans="1:9" x14ac:dyDescent="0.3">
      <c r="A298" s="7">
        <v>46265</v>
      </c>
      <c r="B298" s="1" t="s">
        <v>12</v>
      </c>
      <c r="C298" s="1" t="s">
        <v>22</v>
      </c>
      <c r="D298" s="1" t="s">
        <v>323</v>
      </c>
      <c r="E298" s="1">
        <v>2019</v>
      </c>
      <c r="F298" s="1" t="s">
        <v>313</v>
      </c>
      <c r="G298" s="1">
        <v>3</v>
      </c>
      <c r="H298" s="1" t="s">
        <v>47</v>
      </c>
    </row>
    <row r="299" spans="1:9" x14ac:dyDescent="0.3">
      <c r="A299" s="7">
        <v>46265</v>
      </c>
      <c r="B299" s="1" t="s">
        <v>12</v>
      </c>
      <c r="C299" s="1" t="s">
        <v>22</v>
      </c>
      <c r="D299" s="1" t="s">
        <v>324</v>
      </c>
      <c r="E299" s="1">
        <v>2019</v>
      </c>
      <c r="F299" s="1" t="s">
        <v>313</v>
      </c>
      <c r="G299" s="1">
        <v>5</v>
      </c>
      <c r="H299" s="1" t="s">
        <v>47</v>
      </c>
    </row>
    <row r="300" spans="1:9" x14ac:dyDescent="0.3">
      <c r="A300" s="7">
        <v>46265</v>
      </c>
      <c r="B300" s="1" t="s">
        <v>12</v>
      </c>
      <c r="C300" s="1" t="s">
        <v>22</v>
      </c>
      <c r="D300" s="1" t="s">
        <v>379</v>
      </c>
      <c r="E300" s="1">
        <v>1996</v>
      </c>
      <c r="F300" s="1" t="s">
        <v>325</v>
      </c>
      <c r="G300" s="1">
        <v>6</v>
      </c>
      <c r="H300" s="1" t="s">
        <v>47</v>
      </c>
      <c r="I300" s="1" t="s">
        <v>326</v>
      </c>
    </row>
    <row r="301" spans="1:9" x14ac:dyDescent="0.3">
      <c r="A301" s="7">
        <v>46265</v>
      </c>
      <c r="B301" s="1" t="s">
        <v>12</v>
      </c>
      <c r="C301" s="1" t="s">
        <v>43</v>
      </c>
      <c r="D301" s="1" t="s">
        <v>165</v>
      </c>
      <c r="E301" s="1">
        <v>2015</v>
      </c>
      <c r="F301" s="1" t="s">
        <v>325</v>
      </c>
      <c r="G301" s="1">
        <v>12</v>
      </c>
      <c r="H301" s="1" t="s">
        <v>47</v>
      </c>
    </row>
    <row r="302" spans="1:9" x14ac:dyDescent="0.3">
      <c r="A302" s="7">
        <v>46265</v>
      </c>
      <c r="B302" s="1" t="s">
        <v>12</v>
      </c>
      <c r="C302" s="1" t="s">
        <v>43</v>
      </c>
      <c r="D302" s="1" t="s">
        <v>165</v>
      </c>
      <c r="E302" s="1">
        <v>2006</v>
      </c>
      <c r="F302" s="1" t="s">
        <v>325</v>
      </c>
      <c r="G302" s="1">
        <v>8</v>
      </c>
      <c r="H302" s="1" t="s">
        <v>47</v>
      </c>
    </row>
    <row r="303" spans="1:9" x14ac:dyDescent="0.3">
      <c r="A303" s="7">
        <v>46265</v>
      </c>
      <c r="B303" s="1" t="s">
        <v>12</v>
      </c>
      <c r="C303" s="1" t="s">
        <v>43</v>
      </c>
      <c r="D303" s="1" t="s">
        <v>165</v>
      </c>
      <c r="E303" s="1">
        <v>2007</v>
      </c>
      <c r="F303" s="1" t="s">
        <v>325</v>
      </c>
      <c r="G303" s="1">
        <v>3</v>
      </c>
      <c r="H303" s="1" t="s">
        <v>47</v>
      </c>
    </row>
    <row r="304" spans="1:9" x14ac:dyDescent="0.3">
      <c r="A304" s="7">
        <v>46265</v>
      </c>
      <c r="B304" s="1" t="s">
        <v>12</v>
      </c>
      <c r="C304" s="1" t="s">
        <v>39</v>
      </c>
      <c r="D304" s="1" t="s">
        <v>106</v>
      </c>
      <c r="E304" s="1">
        <v>2013</v>
      </c>
      <c r="F304" s="1" t="s">
        <v>325</v>
      </c>
      <c r="G304" s="1">
        <v>10</v>
      </c>
      <c r="H304" s="1" t="s">
        <v>47</v>
      </c>
    </row>
    <row r="305" spans="1:9" x14ac:dyDescent="0.3">
      <c r="A305" s="7">
        <v>46265</v>
      </c>
      <c r="B305" s="1" t="s">
        <v>12</v>
      </c>
      <c r="C305" s="1" t="s">
        <v>39</v>
      </c>
      <c r="D305" s="1" t="s">
        <v>106</v>
      </c>
      <c r="E305" s="1">
        <v>2013</v>
      </c>
      <c r="F305" s="1" t="s">
        <v>325</v>
      </c>
      <c r="G305" s="1">
        <v>3</v>
      </c>
      <c r="H305" s="1" t="s">
        <v>47</v>
      </c>
    </row>
    <row r="306" spans="1:9" x14ac:dyDescent="0.3">
      <c r="A306" s="7">
        <v>46265</v>
      </c>
      <c r="B306" s="1" t="s">
        <v>12</v>
      </c>
      <c r="C306" s="1" t="s">
        <v>22</v>
      </c>
      <c r="D306" s="1" t="s">
        <v>188</v>
      </c>
      <c r="E306" s="1">
        <v>2005</v>
      </c>
      <c r="F306" s="1" t="s">
        <v>325</v>
      </c>
      <c r="G306" s="1">
        <v>5</v>
      </c>
      <c r="H306" s="1" t="s">
        <v>47</v>
      </c>
      <c r="I306" s="1" t="s">
        <v>327</v>
      </c>
    </row>
    <row r="307" spans="1:9" x14ac:dyDescent="0.3">
      <c r="A307" s="7">
        <v>46265</v>
      </c>
      <c r="B307" s="1" t="s">
        <v>12</v>
      </c>
      <c r="C307" s="1" t="s">
        <v>22</v>
      </c>
      <c r="D307" s="1" t="s">
        <v>188</v>
      </c>
      <c r="E307" s="1">
        <v>2003</v>
      </c>
      <c r="F307" s="1" t="s">
        <v>325</v>
      </c>
      <c r="G307" s="1">
        <v>1</v>
      </c>
      <c r="H307" s="1" t="s">
        <v>47</v>
      </c>
      <c r="I307" s="1" t="s">
        <v>327</v>
      </c>
    </row>
    <row r="308" spans="1:9" x14ac:dyDescent="0.3">
      <c r="A308" s="7">
        <v>46265</v>
      </c>
      <c r="B308" s="1" t="s">
        <v>12</v>
      </c>
      <c r="C308" s="1" t="s">
        <v>22</v>
      </c>
      <c r="D308" s="1" t="s">
        <v>328</v>
      </c>
      <c r="E308" s="1">
        <v>2005</v>
      </c>
      <c r="F308" s="1" t="s">
        <v>329</v>
      </c>
      <c r="G308" s="1">
        <v>1</v>
      </c>
      <c r="H308" s="1" t="s">
        <v>47</v>
      </c>
    </row>
    <row r="309" spans="1:9" x14ac:dyDescent="0.3">
      <c r="A309" s="7">
        <v>46265</v>
      </c>
      <c r="B309" s="1" t="s">
        <v>12</v>
      </c>
      <c r="C309" s="1" t="s">
        <v>22</v>
      </c>
      <c r="D309" s="1" t="s">
        <v>328</v>
      </c>
      <c r="E309" s="1">
        <v>2011</v>
      </c>
      <c r="F309" s="1" t="s">
        <v>329</v>
      </c>
      <c r="G309" s="1">
        <v>3</v>
      </c>
      <c r="H309" s="1" t="s">
        <v>47</v>
      </c>
    </row>
    <row r="310" spans="1:9" x14ac:dyDescent="0.3">
      <c r="A310" s="7">
        <v>46265</v>
      </c>
      <c r="B310" s="1" t="s">
        <v>12</v>
      </c>
      <c r="C310" s="1" t="s">
        <v>22</v>
      </c>
      <c r="D310" s="1" t="s">
        <v>328</v>
      </c>
      <c r="E310" s="1">
        <v>2018</v>
      </c>
      <c r="F310" s="1" t="s">
        <v>329</v>
      </c>
      <c r="G310" s="1">
        <v>3</v>
      </c>
      <c r="H310" s="1" t="s">
        <v>47</v>
      </c>
    </row>
    <row r="311" spans="1:9" x14ac:dyDescent="0.3">
      <c r="A311" s="7">
        <v>46265</v>
      </c>
      <c r="B311" s="1" t="s">
        <v>12</v>
      </c>
      <c r="C311" s="1" t="s">
        <v>22</v>
      </c>
      <c r="D311" s="1" t="s">
        <v>330</v>
      </c>
      <c r="E311" s="1">
        <v>2012</v>
      </c>
      <c r="F311" s="1" t="s">
        <v>329</v>
      </c>
      <c r="G311" s="1">
        <v>2</v>
      </c>
      <c r="H311" s="1" t="s">
        <v>47</v>
      </c>
      <c r="I311" s="1" t="s">
        <v>331</v>
      </c>
    </row>
    <row r="312" spans="1:9" x14ac:dyDescent="0.3">
      <c r="A312" s="7">
        <v>46265</v>
      </c>
      <c r="B312" s="1" t="s">
        <v>12</v>
      </c>
      <c r="C312" s="1" t="s">
        <v>22</v>
      </c>
      <c r="D312" s="1" t="s">
        <v>330</v>
      </c>
      <c r="E312" s="1">
        <v>2013</v>
      </c>
      <c r="F312" s="1" t="s">
        <v>329</v>
      </c>
      <c r="G312" s="1">
        <v>1</v>
      </c>
      <c r="H312" s="1" t="s">
        <v>47</v>
      </c>
      <c r="I312" s="1" t="s">
        <v>331</v>
      </c>
    </row>
    <row r="313" spans="1:9" x14ac:dyDescent="0.3">
      <c r="A313" s="7">
        <v>46265</v>
      </c>
      <c r="B313" s="1" t="s">
        <v>12</v>
      </c>
      <c r="C313" s="1" t="s">
        <v>48</v>
      </c>
      <c r="D313" s="1" t="s">
        <v>332</v>
      </c>
      <c r="E313" s="1">
        <v>2004</v>
      </c>
      <c r="F313" s="1" t="s">
        <v>329</v>
      </c>
      <c r="G313" s="1">
        <v>1</v>
      </c>
      <c r="H313" s="1" t="s">
        <v>47</v>
      </c>
      <c r="I313" s="1" t="s">
        <v>333</v>
      </c>
    </row>
    <row r="314" spans="1:9" x14ac:dyDescent="0.3">
      <c r="A314" s="7">
        <v>46265</v>
      </c>
      <c r="B314" s="1" t="s">
        <v>12</v>
      </c>
      <c r="C314" s="1" t="s">
        <v>42</v>
      </c>
      <c r="D314" s="1" t="s">
        <v>334</v>
      </c>
      <c r="E314" s="1">
        <v>2005</v>
      </c>
      <c r="F314" s="1" t="s">
        <v>329</v>
      </c>
      <c r="G314" s="1">
        <v>1</v>
      </c>
      <c r="H314" s="1" t="s">
        <v>47</v>
      </c>
      <c r="I314" s="1" t="s">
        <v>335</v>
      </c>
    </row>
    <row r="315" spans="1:9" x14ac:dyDescent="0.3">
      <c r="A315" s="7">
        <v>46265</v>
      </c>
      <c r="B315" s="1" t="s">
        <v>12</v>
      </c>
      <c r="C315" s="1" t="s">
        <v>42</v>
      </c>
      <c r="D315" s="1" t="s">
        <v>334</v>
      </c>
      <c r="E315" s="1">
        <v>2006</v>
      </c>
      <c r="F315" s="1" t="s">
        <v>329</v>
      </c>
      <c r="G315" s="1">
        <v>1</v>
      </c>
      <c r="H315" s="1" t="s">
        <v>47</v>
      </c>
      <c r="I315" s="1" t="s">
        <v>335</v>
      </c>
    </row>
    <row r="316" spans="1:9" x14ac:dyDescent="0.3">
      <c r="A316" s="7">
        <v>46265</v>
      </c>
      <c r="B316" s="1" t="s">
        <v>12</v>
      </c>
      <c r="C316" s="1" t="s">
        <v>22</v>
      </c>
      <c r="D316" s="1" t="s">
        <v>188</v>
      </c>
      <c r="E316" s="1">
        <v>2014</v>
      </c>
      <c r="F316" s="1" t="s">
        <v>329</v>
      </c>
      <c r="G316" s="1">
        <v>1</v>
      </c>
      <c r="H316" s="1" t="s">
        <v>47</v>
      </c>
    </row>
    <row r="317" spans="1:9" x14ac:dyDescent="0.3">
      <c r="A317" s="7">
        <v>46265</v>
      </c>
      <c r="B317" s="1" t="s">
        <v>12</v>
      </c>
      <c r="C317" s="1" t="s">
        <v>22</v>
      </c>
      <c r="D317" s="1" t="s">
        <v>188</v>
      </c>
      <c r="E317" s="1">
        <v>2003</v>
      </c>
      <c r="F317" s="1" t="s">
        <v>329</v>
      </c>
      <c r="G317" s="1">
        <v>1</v>
      </c>
      <c r="H317" s="1" t="s">
        <v>47</v>
      </c>
    </row>
    <row r="318" spans="1:9" x14ac:dyDescent="0.3">
      <c r="A318" s="7">
        <v>46265</v>
      </c>
      <c r="B318" s="1" t="s">
        <v>12</v>
      </c>
      <c r="C318" s="1" t="s">
        <v>39</v>
      </c>
      <c r="D318" s="1" t="s">
        <v>336</v>
      </c>
      <c r="E318" s="1">
        <v>2005</v>
      </c>
      <c r="F318" s="1" t="s">
        <v>329</v>
      </c>
      <c r="G318" s="1">
        <v>1</v>
      </c>
      <c r="H318" s="1" t="s">
        <v>47</v>
      </c>
    </row>
    <row r="319" spans="1:9" x14ac:dyDescent="0.3">
      <c r="A319" s="7">
        <v>46265</v>
      </c>
      <c r="B319" s="1" t="s">
        <v>12</v>
      </c>
      <c r="C319" s="1" t="s">
        <v>39</v>
      </c>
      <c r="D319" s="1" t="s">
        <v>337</v>
      </c>
      <c r="E319" s="1">
        <v>2010</v>
      </c>
      <c r="F319" s="1" t="s">
        <v>329</v>
      </c>
      <c r="G319" s="1">
        <v>2</v>
      </c>
      <c r="H319" s="1" t="s">
        <v>47</v>
      </c>
      <c r="I319" s="1" t="s">
        <v>338</v>
      </c>
    </row>
    <row r="320" spans="1:9" x14ac:dyDescent="0.3">
      <c r="A320" s="7">
        <v>46265</v>
      </c>
      <c r="B320" s="1" t="s">
        <v>12</v>
      </c>
      <c r="C320" s="1" t="s">
        <v>22</v>
      </c>
      <c r="D320" s="1" t="s">
        <v>178</v>
      </c>
      <c r="E320" s="1">
        <v>2001</v>
      </c>
      <c r="F320" s="1" t="s">
        <v>329</v>
      </c>
      <c r="G320" s="1">
        <v>1</v>
      </c>
      <c r="H320" s="1" t="s">
        <v>47</v>
      </c>
      <c r="I320" s="1" t="s">
        <v>179</v>
      </c>
    </row>
    <row r="321" spans="1:9" x14ac:dyDescent="0.3">
      <c r="A321" s="7">
        <v>46265</v>
      </c>
      <c r="B321" s="1" t="s">
        <v>12</v>
      </c>
      <c r="C321" s="1" t="s">
        <v>39</v>
      </c>
      <c r="D321" s="1" t="s">
        <v>113</v>
      </c>
      <c r="E321" s="1">
        <v>2013</v>
      </c>
      <c r="F321" s="1" t="s">
        <v>329</v>
      </c>
      <c r="G321" s="1">
        <v>6</v>
      </c>
      <c r="H321" s="1" t="s">
        <v>47</v>
      </c>
      <c r="I321" s="1" t="s">
        <v>114</v>
      </c>
    </row>
    <row r="322" spans="1:9" x14ac:dyDescent="0.3">
      <c r="A322" s="7">
        <v>46265</v>
      </c>
      <c r="B322" s="1" t="s">
        <v>12</v>
      </c>
      <c r="C322" s="1" t="s">
        <v>39</v>
      </c>
      <c r="D322" s="1" t="s">
        <v>339</v>
      </c>
      <c r="E322" s="1">
        <v>2005</v>
      </c>
      <c r="F322" s="1" t="s">
        <v>329</v>
      </c>
      <c r="G322" s="1">
        <v>6</v>
      </c>
      <c r="H322" s="1" t="s">
        <v>47</v>
      </c>
      <c r="I322" s="1" t="s">
        <v>340</v>
      </c>
    </row>
    <row r="323" spans="1:9" x14ac:dyDescent="0.3">
      <c r="A323" s="7">
        <v>46265</v>
      </c>
      <c r="B323" s="1" t="s">
        <v>12</v>
      </c>
      <c r="C323" s="1" t="s">
        <v>39</v>
      </c>
      <c r="D323" s="1" t="s">
        <v>106</v>
      </c>
      <c r="E323" s="1">
        <v>2010</v>
      </c>
      <c r="F323" s="1" t="s">
        <v>329</v>
      </c>
      <c r="G323" s="1">
        <v>12</v>
      </c>
      <c r="H323" s="1" t="s">
        <v>47</v>
      </c>
    </row>
    <row r="324" spans="1:9" x14ac:dyDescent="0.3">
      <c r="A324" s="7">
        <v>46265</v>
      </c>
      <c r="B324" s="1" t="s">
        <v>12</v>
      </c>
      <c r="C324" s="1" t="s">
        <v>39</v>
      </c>
      <c r="D324" s="1" t="s">
        <v>352</v>
      </c>
      <c r="E324" s="1">
        <v>2018</v>
      </c>
      <c r="F324" s="1" t="s">
        <v>341</v>
      </c>
      <c r="G324" s="1">
        <v>6</v>
      </c>
      <c r="H324" s="1" t="s">
        <v>47</v>
      </c>
    </row>
    <row r="325" spans="1:9" x14ac:dyDescent="0.3">
      <c r="A325" s="7">
        <v>46265</v>
      </c>
      <c r="B325" s="1" t="s">
        <v>12</v>
      </c>
      <c r="C325" s="1" t="s">
        <v>22</v>
      </c>
      <c r="D325" s="1" t="s">
        <v>342</v>
      </c>
      <c r="E325" s="1">
        <v>2017</v>
      </c>
      <c r="F325" s="1" t="s">
        <v>341</v>
      </c>
      <c r="G325" s="1">
        <v>2</v>
      </c>
      <c r="H325" s="1" t="s">
        <v>47</v>
      </c>
      <c r="I325" s="1" t="s">
        <v>343</v>
      </c>
    </row>
    <row r="326" spans="1:9" x14ac:dyDescent="0.3">
      <c r="A326" s="7">
        <v>46265</v>
      </c>
      <c r="B326" s="1" t="s">
        <v>12</v>
      </c>
      <c r="C326" s="1" t="s">
        <v>39</v>
      </c>
      <c r="D326" s="1" t="s">
        <v>351</v>
      </c>
      <c r="E326" s="1">
        <v>2010</v>
      </c>
      <c r="F326" s="1" t="s">
        <v>341</v>
      </c>
      <c r="G326" s="1">
        <v>3</v>
      </c>
      <c r="H326" s="1" t="s">
        <v>47</v>
      </c>
    </row>
    <row r="327" spans="1:9" x14ac:dyDescent="0.3">
      <c r="A327" s="7">
        <v>46265</v>
      </c>
      <c r="B327" s="1" t="s">
        <v>12</v>
      </c>
      <c r="C327" s="1" t="s">
        <v>43</v>
      </c>
      <c r="D327" s="1" t="s">
        <v>344</v>
      </c>
      <c r="E327" s="1">
        <v>2015</v>
      </c>
      <c r="F327" s="1" t="s">
        <v>345</v>
      </c>
      <c r="G327" s="1">
        <v>6</v>
      </c>
      <c r="H327" s="1" t="s">
        <v>47</v>
      </c>
    </row>
    <row r="328" spans="1:9" x14ac:dyDescent="0.3">
      <c r="A328" s="7">
        <v>46265</v>
      </c>
      <c r="B328" s="1" t="s">
        <v>12</v>
      </c>
      <c r="C328" s="1" t="s">
        <v>43</v>
      </c>
      <c r="D328" s="1" t="s">
        <v>346</v>
      </c>
      <c r="E328" s="1">
        <v>2007</v>
      </c>
      <c r="F328" s="1" t="s">
        <v>345</v>
      </c>
      <c r="G328" s="1">
        <v>6</v>
      </c>
      <c r="H328" s="1" t="s">
        <v>47</v>
      </c>
    </row>
    <row r="329" spans="1:9" x14ac:dyDescent="0.3">
      <c r="A329" s="7">
        <v>46265</v>
      </c>
      <c r="B329" s="1" t="s">
        <v>12</v>
      </c>
      <c r="C329" s="1" t="s">
        <v>43</v>
      </c>
      <c r="D329" s="1" t="s">
        <v>346</v>
      </c>
      <c r="E329" s="1">
        <v>2008</v>
      </c>
      <c r="F329" s="1" t="s">
        <v>345</v>
      </c>
      <c r="G329" s="1">
        <v>6</v>
      </c>
      <c r="H329" s="1" t="s">
        <v>47</v>
      </c>
    </row>
    <row r="330" spans="1:9" x14ac:dyDescent="0.3">
      <c r="A330" s="7">
        <v>46265</v>
      </c>
      <c r="B330" s="1" t="s">
        <v>12</v>
      </c>
      <c r="C330" s="1" t="s">
        <v>43</v>
      </c>
      <c r="D330" s="1" t="s">
        <v>347</v>
      </c>
      <c r="E330" s="1">
        <v>2007</v>
      </c>
      <c r="F330" s="1" t="s">
        <v>345</v>
      </c>
      <c r="G330" s="1">
        <v>5</v>
      </c>
      <c r="H330" s="1" t="s">
        <v>47</v>
      </c>
    </row>
    <row r="331" spans="1:9" x14ac:dyDescent="0.3">
      <c r="A331" s="7">
        <v>46265</v>
      </c>
      <c r="B331" s="1" t="s">
        <v>12</v>
      </c>
      <c r="C331" s="1" t="s">
        <v>43</v>
      </c>
      <c r="D331" s="1" t="s">
        <v>347</v>
      </c>
      <c r="E331" s="1">
        <v>2008</v>
      </c>
      <c r="F331" s="1" t="s">
        <v>345</v>
      </c>
      <c r="G331" s="1">
        <v>7</v>
      </c>
      <c r="H331" s="1" t="s">
        <v>47</v>
      </c>
    </row>
    <row r="332" spans="1:9" x14ac:dyDescent="0.3">
      <c r="A332" s="7">
        <v>46265</v>
      </c>
      <c r="B332" s="1" t="s">
        <v>12</v>
      </c>
      <c r="C332" s="1" t="s">
        <v>43</v>
      </c>
      <c r="D332" s="1" t="s">
        <v>350</v>
      </c>
      <c r="E332" s="1">
        <v>2006</v>
      </c>
      <c r="F332" s="1" t="s">
        <v>345</v>
      </c>
      <c r="G332" s="1">
        <v>1</v>
      </c>
      <c r="H332" s="1" t="s">
        <v>47</v>
      </c>
      <c r="I332" s="1" t="s">
        <v>348</v>
      </c>
    </row>
    <row r="333" spans="1:9" x14ac:dyDescent="0.3">
      <c r="A333" s="7">
        <v>46266</v>
      </c>
      <c r="B333" s="1" t="s">
        <v>13</v>
      </c>
      <c r="C333" s="1" t="s">
        <v>23</v>
      </c>
      <c r="D333" s="1" t="s">
        <v>14</v>
      </c>
      <c r="E333" s="1">
        <v>2018</v>
      </c>
      <c r="F333" s="1" t="s">
        <v>15</v>
      </c>
      <c r="G333" s="1">
        <v>1</v>
      </c>
      <c r="H333" s="1" t="s">
        <v>16</v>
      </c>
    </row>
    <row r="334" spans="1:9" x14ac:dyDescent="0.3">
      <c r="A334" s="7">
        <v>46266</v>
      </c>
      <c r="B334" s="1" t="s">
        <v>13</v>
      </c>
      <c r="C334" s="1" t="s">
        <v>22</v>
      </c>
      <c r="D334" s="1" t="s">
        <v>17</v>
      </c>
      <c r="E334" s="1">
        <v>2020</v>
      </c>
      <c r="F334" s="1" t="s">
        <v>15</v>
      </c>
      <c r="G334" s="1">
        <v>1</v>
      </c>
      <c r="H334" s="1" t="s">
        <v>16</v>
      </c>
    </row>
    <row r="335" spans="1:9" x14ac:dyDescent="0.3">
      <c r="A335" s="7">
        <v>46266</v>
      </c>
      <c r="B335" s="1" t="s">
        <v>12</v>
      </c>
      <c r="C335" s="1" t="s">
        <v>39</v>
      </c>
      <c r="D335" s="1" t="s">
        <v>20</v>
      </c>
      <c r="E335" s="1">
        <v>2017</v>
      </c>
      <c r="F335" s="1" t="s">
        <v>15</v>
      </c>
      <c r="G335" s="1">
        <v>1</v>
      </c>
      <c r="H335" s="1" t="s">
        <v>16</v>
      </c>
    </row>
    <row r="336" spans="1:9" x14ac:dyDescent="0.3">
      <c r="A336" s="7">
        <v>46266</v>
      </c>
      <c r="B336" s="1" t="s">
        <v>12</v>
      </c>
      <c r="C336" s="1" t="s">
        <v>22</v>
      </c>
      <c r="D336" s="1" t="s">
        <v>24</v>
      </c>
      <c r="E336" s="1">
        <v>2022</v>
      </c>
      <c r="F336" s="1" t="s">
        <v>15</v>
      </c>
      <c r="G336" s="1">
        <v>1</v>
      </c>
      <c r="H336" s="1" t="s">
        <v>16</v>
      </c>
    </row>
    <row r="337" spans="1:8" x14ac:dyDescent="0.3">
      <c r="A337" s="7">
        <v>46266</v>
      </c>
      <c r="B337" s="1" t="s">
        <v>12</v>
      </c>
      <c r="C337" s="1" t="s">
        <v>22</v>
      </c>
      <c r="D337" s="1" t="s">
        <v>25</v>
      </c>
      <c r="E337" s="1">
        <v>2022</v>
      </c>
      <c r="F337" s="1" t="s">
        <v>15</v>
      </c>
      <c r="G337" s="1">
        <v>1</v>
      </c>
      <c r="H337" s="1" t="s">
        <v>16</v>
      </c>
    </row>
    <row r="338" spans="1:8" x14ac:dyDescent="0.3">
      <c r="A338" s="7">
        <v>46266</v>
      </c>
      <c r="B338" s="1" t="s">
        <v>12</v>
      </c>
      <c r="C338" s="1" t="s">
        <v>39</v>
      </c>
      <c r="D338" s="1" t="s">
        <v>26</v>
      </c>
      <c r="E338" s="1">
        <v>2018</v>
      </c>
      <c r="F338" s="1" t="s">
        <v>15</v>
      </c>
      <c r="G338" s="1">
        <v>1</v>
      </c>
      <c r="H338" s="1" t="s">
        <v>16</v>
      </c>
    </row>
    <row r="339" spans="1:8" x14ac:dyDescent="0.3">
      <c r="A339" s="7">
        <v>46266</v>
      </c>
      <c r="B339" s="1" t="s">
        <v>12</v>
      </c>
      <c r="C339" s="1" t="s">
        <v>22</v>
      </c>
      <c r="D339" s="1" t="s">
        <v>27</v>
      </c>
      <c r="E339" s="1">
        <v>2023</v>
      </c>
      <c r="F339" s="1" t="s">
        <v>15</v>
      </c>
      <c r="G339" s="1">
        <v>1</v>
      </c>
      <c r="H339" s="1" t="s">
        <v>16</v>
      </c>
    </row>
    <row r="340" spans="1:8" x14ac:dyDescent="0.3">
      <c r="A340" s="7">
        <v>46266</v>
      </c>
      <c r="B340" s="1" t="s">
        <v>12</v>
      </c>
      <c r="C340" s="1" t="s">
        <v>22</v>
      </c>
      <c r="D340" s="1" t="s">
        <v>28</v>
      </c>
      <c r="E340" s="1">
        <v>2005</v>
      </c>
      <c r="F340" s="1" t="s">
        <v>15</v>
      </c>
      <c r="G340" s="1">
        <v>1</v>
      </c>
      <c r="H340" s="1" t="s">
        <v>16</v>
      </c>
    </row>
    <row r="341" spans="1:8" x14ac:dyDescent="0.3">
      <c r="A341" s="7">
        <v>46266</v>
      </c>
      <c r="B341" s="1" t="s">
        <v>12</v>
      </c>
      <c r="C341" s="1" t="s">
        <v>41</v>
      </c>
      <c r="D341" s="1" t="s">
        <v>29</v>
      </c>
      <c r="E341" s="1">
        <v>2020</v>
      </c>
      <c r="F341" s="1" t="s">
        <v>15</v>
      </c>
      <c r="G341" s="1">
        <v>1</v>
      </c>
      <c r="H341" s="1" t="s">
        <v>16</v>
      </c>
    </row>
    <row r="342" spans="1:8" x14ac:dyDescent="0.3">
      <c r="A342" s="7">
        <v>46266</v>
      </c>
      <c r="B342" s="1" t="s">
        <v>12</v>
      </c>
      <c r="C342" s="1" t="s">
        <v>22</v>
      </c>
      <c r="D342" s="1" t="s">
        <v>30</v>
      </c>
      <c r="E342" s="1">
        <v>2021</v>
      </c>
      <c r="F342" s="1" t="s">
        <v>15</v>
      </c>
      <c r="G342" s="1">
        <v>1</v>
      </c>
      <c r="H342" s="1" t="s">
        <v>16</v>
      </c>
    </row>
    <row r="343" spans="1:8" x14ac:dyDescent="0.3">
      <c r="A343" s="7">
        <v>46266</v>
      </c>
      <c r="B343" s="1" t="s">
        <v>12</v>
      </c>
      <c r="C343" s="1" t="s">
        <v>22</v>
      </c>
      <c r="D343" s="1" t="s">
        <v>19</v>
      </c>
      <c r="E343" s="1">
        <v>2007</v>
      </c>
      <c r="F343" s="1" t="s">
        <v>15</v>
      </c>
      <c r="G343" s="1">
        <v>1</v>
      </c>
      <c r="H343" s="1" t="s">
        <v>16</v>
      </c>
    </row>
    <row r="344" spans="1:8" x14ac:dyDescent="0.3">
      <c r="A344" s="7">
        <v>46266</v>
      </c>
      <c r="B344" s="1" t="s">
        <v>12</v>
      </c>
      <c r="C344" s="1" t="s">
        <v>42</v>
      </c>
      <c r="D344" s="1" t="s">
        <v>31</v>
      </c>
      <c r="E344" s="1">
        <v>2006</v>
      </c>
      <c r="F344" s="1" t="s">
        <v>15</v>
      </c>
      <c r="G344" s="1">
        <v>1</v>
      </c>
      <c r="H344" s="1" t="s">
        <v>16</v>
      </c>
    </row>
    <row r="345" spans="1:8" x14ac:dyDescent="0.3">
      <c r="A345" s="7">
        <v>46266</v>
      </c>
      <c r="B345" s="1" t="s">
        <v>12</v>
      </c>
      <c r="C345" s="1" t="s">
        <v>39</v>
      </c>
      <c r="D345" s="1" t="s">
        <v>32</v>
      </c>
      <c r="E345" s="1">
        <v>2001</v>
      </c>
      <c r="F345" s="1" t="s">
        <v>15</v>
      </c>
      <c r="G345" s="1">
        <v>1</v>
      </c>
      <c r="H345" s="1" t="s">
        <v>16</v>
      </c>
    </row>
    <row r="346" spans="1:8" x14ac:dyDescent="0.3">
      <c r="A346" s="7">
        <v>46266</v>
      </c>
      <c r="B346" s="1" t="s">
        <v>12</v>
      </c>
      <c r="C346" s="1" t="s">
        <v>43</v>
      </c>
      <c r="D346" s="1" t="s">
        <v>165</v>
      </c>
      <c r="E346" s="1">
        <v>2021</v>
      </c>
      <c r="F346" s="1" t="s">
        <v>15</v>
      </c>
      <c r="G346" s="1">
        <v>1</v>
      </c>
      <c r="H346" s="1" t="s">
        <v>16</v>
      </c>
    </row>
    <row r="347" spans="1:8" x14ac:dyDescent="0.3">
      <c r="A347" s="7">
        <v>46266</v>
      </c>
      <c r="B347" s="1" t="s">
        <v>12</v>
      </c>
      <c r="C347" s="1" t="s">
        <v>22</v>
      </c>
      <c r="D347" s="1" t="s">
        <v>33</v>
      </c>
      <c r="E347" s="1">
        <v>2018</v>
      </c>
      <c r="F347" s="1" t="s">
        <v>15</v>
      </c>
      <c r="G347" s="1">
        <v>1</v>
      </c>
      <c r="H347" s="1" t="s">
        <v>16</v>
      </c>
    </row>
    <row r="348" spans="1:8" x14ac:dyDescent="0.3">
      <c r="A348" s="7">
        <v>46266</v>
      </c>
      <c r="B348" s="1" t="s">
        <v>12</v>
      </c>
      <c r="C348" s="1" t="s">
        <v>22</v>
      </c>
      <c r="D348" s="1" t="s">
        <v>375</v>
      </c>
      <c r="E348" s="1">
        <v>2022</v>
      </c>
      <c r="F348" s="1" t="s">
        <v>15</v>
      </c>
      <c r="G348" s="1">
        <v>1</v>
      </c>
      <c r="H348" s="1" t="s">
        <v>16</v>
      </c>
    </row>
    <row r="349" spans="1:8" x14ac:dyDescent="0.3">
      <c r="A349" s="7">
        <v>46266</v>
      </c>
      <c r="B349" s="1" t="s">
        <v>12</v>
      </c>
      <c r="C349" s="1" t="s">
        <v>22</v>
      </c>
      <c r="D349" s="1" t="s">
        <v>34</v>
      </c>
      <c r="E349" s="1">
        <v>1971</v>
      </c>
      <c r="F349" s="1" t="s">
        <v>15</v>
      </c>
      <c r="G349" s="1">
        <v>1</v>
      </c>
      <c r="H349" s="1" t="s">
        <v>16</v>
      </c>
    </row>
    <row r="350" spans="1:8" x14ac:dyDescent="0.3">
      <c r="A350" s="7">
        <v>46266</v>
      </c>
      <c r="B350" s="1" t="s">
        <v>12</v>
      </c>
      <c r="C350" s="1" t="s">
        <v>22</v>
      </c>
      <c r="D350" s="1" t="s">
        <v>35</v>
      </c>
      <c r="E350" s="1">
        <v>2018</v>
      </c>
      <c r="F350" s="1" t="s">
        <v>15</v>
      </c>
      <c r="G350" s="1">
        <v>1</v>
      </c>
      <c r="H350" s="1" t="s">
        <v>16</v>
      </c>
    </row>
    <row r="351" spans="1:8" x14ac:dyDescent="0.3">
      <c r="A351" s="7">
        <v>46266</v>
      </c>
      <c r="B351" s="1" t="s">
        <v>12</v>
      </c>
      <c r="C351" s="1" t="s">
        <v>39</v>
      </c>
      <c r="D351" s="1" t="s">
        <v>106</v>
      </c>
      <c r="E351" s="1">
        <v>2013</v>
      </c>
      <c r="F351" s="1" t="s">
        <v>15</v>
      </c>
      <c r="G351" s="1">
        <v>1</v>
      </c>
      <c r="H351" s="1" t="s">
        <v>16</v>
      </c>
    </row>
    <row r="352" spans="1:8" x14ac:dyDescent="0.3">
      <c r="A352" s="7">
        <v>46266</v>
      </c>
      <c r="B352" s="1" t="s">
        <v>12</v>
      </c>
      <c r="C352" s="1" t="s">
        <v>39</v>
      </c>
      <c r="D352" s="1" t="s">
        <v>106</v>
      </c>
      <c r="E352" s="1">
        <v>2012</v>
      </c>
      <c r="F352" s="1" t="s">
        <v>15</v>
      </c>
      <c r="G352" s="1">
        <v>1</v>
      </c>
      <c r="H352" s="1" t="s">
        <v>16</v>
      </c>
    </row>
    <row r="353" spans="1:8" x14ac:dyDescent="0.3">
      <c r="A353" s="7">
        <v>46266</v>
      </c>
      <c r="B353" s="1" t="s">
        <v>12</v>
      </c>
      <c r="C353" s="1" t="s">
        <v>22</v>
      </c>
      <c r="D353" s="1" t="s">
        <v>36</v>
      </c>
      <c r="E353" s="1">
        <v>2002</v>
      </c>
      <c r="F353" s="1" t="s">
        <v>15</v>
      </c>
      <c r="G353" s="1">
        <v>1</v>
      </c>
      <c r="H353" s="1" t="s">
        <v>16</v>
      </c>
    </row>
    <row r="354" spans="1:8" x14ac:dyDescent="0.3">
      <c r="A354" s="7">
        <v>46266</v>
      </c>
      <c r="B354" s="1" t="s">
        <v>12</v>
      </c>
      <c r="C354" s="1" t="s">
        <v>22</v>
      </c>
      <c r="D354" s="1" t="s">
        <v>37</v>
      </c>
      <c r="E354" s="1">
        <v>2016</v>
      </c>
      <c r="F354" s="1" t="s">
        <v>15</v>
      </c>
      <c r="G354" s="1">
        <v>1</v>
      </c>
      <c r="H354" s="1" t="s">
        <v>16</v>
      </c>
    </row>
    <row r="355" spans="1:8" x14ac:dyDescent="0.3">
      <c r="A355" s="7">
        <v>46266</v>
      </c>
      <c r="B355" s="1" t="s">
        <v>12</v>
      </c>
      <c r="C355" s="1" t="s">
        <v>22</v>
      </c>
      <c r="D355" s="1" t="s">
        <v>38</v>
      </c>
      <c r="E355" s="1">
        <v>2017</v>
      </c>
      <c r="F355" s="1" t="s">
        <v>15</v>
      </c>
      <c r="G355" s="1">
        <v>1</v>
      </c>
      <c r="H355" s="1" t="s">
        <v>16</v>
      </c>
    </row>
    <row r="356" spans="1:8" x14ac:dyDescent="0.3">
      <c r="A356" s="7">
        <v>46266</v>
      </c>
      <c r="B356" s="1" t="s">
        <v>18</v>
      </c>
      <c r="C356" s="1" t="s">
        <v>39</v>
      </c>
      <c r="D356" s="1" t="s">
        <v>45</v>
      </c>
      <c r="E356" s="1">
        <v>2010</v>
      </c>
      <c r="F356" s="1" t="s">
        <v>46</v>
      </c>
      <c r="G356" s="1">
        <v>9</v>
      </c>
      <c r="H356" s="1" t="s">
        <v>16</v>
      </c>
    </row>
    <row r="357" spans="1:8" x14ac:dyDescent="0.3">
      <c r="A357" s="7">
        <v>46266</v>
      </c>
      <c r="B357" s="1" t="s">
        <v>18</v>
      </c>
      <c r="C357" s="1" t="s">
        <v>39</v>
      </c>
      <c r="D357" s="1" t="s">
        <v>77</v>
      </c>
      <c r="E357" s="1">
        <v>2010</v>
      </c>
      <c r="F357" s="1" t="s">
        <v>291</v>
      </c>
      <c r="G357" s="1">
        <v>1</v>
      </c>
      <c r="H357" s="1" t="s">
        <v>16</v>
      </c>
    </row>
    <row r="358" spans="1:8" x14ac:dyDescent="0.3">
      <c r="A358" s="7">
        <v>46265</v>
      </c>
      <c r="B358" s="1" t="s">
        <v>12</v>
      </c>
      <c r="C358" s="1" t="s">
        <v>23</v>
      </c>
      <c r="D358" s="1" t="s">
        <v>367</v>
      </c>
      <c r="E358" s="1">
        <v>2010</v>
      </c>
      <c r="F358" s="1" t="s">
        <v>15</v>
      </c>
      <c r="G358" s="1">
        <v>10</v>
      </c>
      <c r="H358" s="1" t="s">
        <v>16</v>
      </c>
    </row>
    <row r="359" spans="1:8" x14ac:dyDescent="0.3">
      <c r="A359" s="7">
        <v>46266</v>
      </c>
      <c r="B359" s="1" t="s">
        <v>18</v>
      </c>
      <c r="C359" s="1" t="s">
        <v>23</v>
      </c>
      <c r="D359" s="1" t="s">
        <v>367</v>
      </c>
      <c r="E359" s="1">
        <v>2010</v>
      </c>
      <c r="F359" s="1" t="s">
        <v>15</v>
      </c>
      <c r="G359" s="1">
        <v>3</v>
      </c>
      <c r="H359" s="1" t="s">
        <v>16</v>
      </c>
    </row>
    <row r="360" spans="1:8" x14ac:dyDescent="0.3">
      <c r="A360" s="7">
        <v>46266</v>
      </c>
      <c r="B360" s="1" t="s">
        <v>12</v>
      </c>
      <c r="C360" s="1" t="s">
        <v>40</v>
      </c>
      <c r="D360" s="1" t="s">
        <v>368</v>
      </c>
      <c r="E360" s="1">
        <v>2012</v>
      </c>
      <c r="F360" s="1" t="s">
        <v>369</v>
      </c>
      <c r="G360" s="1">
        <v>1</v>
      </c>
      <c r="H360" s="1" t="s">
        <v>16</v>
      </c>
    </row>
    <row r="361" spans="1:8" x14ac:dyDescent="0.3">
      <c r="A361" s="7">
        <v>46266</v>
      </c>
      <c r="B361" s="1" t="s">
        <v>18</v>
      </c>
      <c r="C361" s="1" t="s">
        <v>40</v>
      </c>
      <c r="D361" s="1" t="s">
        <v>368</v>
      </c>
      <c r="E361" s="1">
        <v>2012</v>
      </c>
      <c r="F361" s="1" t="s">
        <v>369</v>
      </c>
      <c r="G361" s="1">
        <v>1</v>
      </c>
      <c r="H361" s="1" t="s">
        <v>16</v>
      </c>
    </row>
    <row r="362" spans="1:8" x14ac:dyDescent="0.3">
      <c r="A362" s="7">
        <v>46266</v>
      </c>
      <c r="B362" s="1" t="s">
        <v>12</v>
      </c>
      <c r="C362" s="1" t="s">
        <v>22</v>
      </c>
      <c r="D362" s="1" t="s">
        <v>370</v>
      </c>
      <c r="E362" s="1">
        <v>2005</v>
      </c>
      <c r="F362" s="1" t="s">
        <v>325</v>
      </c>
      <c r="G362" s="1">
        <v>1</v>
      </c>
      <c r="H362" s="1" t="s">
        <v>16</v>
      </c>
    </row>
    <row r="363" spans="1:8" x14ac:dyDescent="0.3">
      <c r="A363" s="7">
        <v>46266</v>
      </c>
      <c r="B363" s="1" t="s">
        <v>12</v>
      </c>
      <c r="C363" s="1" t="s">
        <v>39</v>
      </c>
      <c r="D363" s="1" t="s">
        <v>371</v>
      </c>
      <c r="E363" s="1">
        <v>2019</v>
      </c>
      <c r="F363" s="1" t="s">
        <v>325</v>
      </c>
      <c r="G363" s="1">
        <v>1</v>
      </c>
      <c r="H363" s="1" t="s">
        <v>16</v>
      </c>
    </row>
    <row r="364" spans="1:8" x14ac:dyDescent="0.3">
      <c r="A364" s="7">
        <v>46266</v>
      </c>
      <c r="B364" s="1" t="s">
        <v>12</v>
      </c>
      <c r="C364" s="1" t="s">
        <v>43</v>
      </c>
      <c r="D364" s="1" t="s">
        <v>372</v>
      </c>
      <c r="E364" s="1">
        <v>2015</v>
      </c>
      <c r="F364" s="1" t="s">
        <v>325</v>
      </c>
      <c r="G364" s="1">
        <v>1</v>
      </c>
      <c r="H364" s="1" t="s">
        <v>16</v>
      </c>
    </row>
    <row r="365" spans="1:8" x14ac:dyDescent="0.3">
      <c r="A365" s="7">
        <v>46266</v>
      </c>
      <c r="B365" s="1" t="s">
        <v>12</v>
      </c>
      <c r="C365" s="1" t="s">
        <v>39</v>
      </c>
      <c r="D365" s="1" t="s">
        <v>373</v>
      </c>
      <c r="E365" s="1">
        <v>2020</v>
      </c>
      <c r="F365" s="1" t="s">
        <v>325</v>
      </c>
      <c r="G365" s="1">
        <v>1</v>
      </c>
      <c r="H365" s="1" t="s">
        <v>16</v>
      </c>
    </row>
    <row r="366" spans="1:8" x14ac:dyDescent="0.3">
      <c r="A366" s="7">
        <v>46266</v>
      </c>
      <c r="B366" s="1" t="s">
        <v>12</v>
      </c>
      <c r="C366" s="1" t="s">
        <v>39</v>
      </c>
      <c r="D366" s="1" t="s">
        <v>374</v>
      </c>
      <c r="E366" s="1">
        <v>2022</v>
      </c>
      <c r="F366" s="1" t="s">
        <v>325</v>
      </c>
      <c r="G366" s="1">
        <v>1</v>
      </c>
      <c r="H366" s="1" t="s">
        <v>16</v>
      </c>
    </row>
    <row r="367" spans="1:8" x14ac:dyDescent="0.3">
      <c r="A367" s="7">
        <v>46266</v>
      </c>
      <c r="B367" s="1" t="s">
        <v>12</v>
      </c>
      <c r="C367" s="1" t="s">
        <v>22</v>
      </c>
      <c r="D367" s="1" t="s">
        <v>375</v>
      </c>
      <c r="E367" s="1">
        <v>2021</v>
      </c>
      <c r="F367" s="1" t="s">
        <v>325</v>
      </c>
      <c r="G367" s="1">
        <v>1</v>
      </c>
      <c r="H367" s="1" t="s">
        <v>16</v>
      </c>
    </row>
    <row r="368" spans="1:8" x14ac:dyDescent="0.3">
      <c r="A368" s="7">
        <v>46266</v>
      </c>
      <c r="B368" s="1" t="s">
        <v>12</v>
      </c>
      <c r="C368" s="1" t="s">
        <v>42</v>
      </c>
      <c r="D368" s="1" t="s">
        <v>376</v>
      </c>
      <c r="E368" s="1">
        <v>2004</v>
      </c>
      <c r="F368" s="1" t="s">
        <v>325</v>
      </c>
      <c r="G368" s="1">
        <v>1</v>
      </c>
      <c r="H368" s="1" t="s">
        <v>16</v>
      </c>
    </row>
    <row r="369" spans="1:8" x14ac:dyDescent="0.3">
      <c r="A369" s="7">
        <v>46266</v>
      </c>
      <c r="B369" s="1" t="s">
        <v>12</v>
      </c>
      <c r="C369" s="1" t="s">
        <v>43</v>
      </c>
      <c r="D369" s="1" t="s">
        <v>377</v>
      </c>
      <c r="E369" s="1">
        <v>1998</v>
      </c>
      <c r="F369" s="1" t="s">
        <v>325</v>
      </c>
      <c r="G369" s="1">
        <v>1</v>
      </c>
      <c r="H369" s="1" t="s">
        <v>16</v>
      </c>
    </row>
    <row r="370" spans="1:8" x14ac:dyDescent="0.3">
      <c r="A370" s="7">
        <v>46266</v>
      </c>
      <c r="B370" s="1" t="s">
        <v>12</v>
      </c>
      <c r="C370" s="1" t="s">
        <v>22</v>
      </c>
      <c r="D370" s="1" t="s">
        <v>378</v>
      </c>
      <c r="E370" s="1">
        <v>2019</v>
      </c>
      <c r="F370" s="1" t="s">
        <v>325</v>
      </c>
      <c r="G370" s="1">
        <v>1</v>
      </c>
      <c r="H370" s="1" t="s">
        <v>16</v>
      </c>
    </row>
    <row r="371" spans="1:8" x14ac:dyDescent="0.3">
      <c r="A371" s="7"/>
    </row>
    <row r="372" spans="1:8" x14ac:dyDescent="0.3">
      <c r="A372" s="7"/>
    </row>
    <row r="373" spans="1:8" x14ac:dyDescent="0.3">
      <c r="A373" s="7"/>
    </row>
    <row r="374" spans="1:8" x14ac:dyDescent="0.3">
      <c r="A374" s="7"/>
    </row>
    <row r="375" spans="1:8" x14ac:dyDescent="0.3">
      <c r="A375" s="7"/>
    </row>
    <row r="376" spans="1:8" x14ac:dyDescent="0.3">
      <c r="A376" s="7"/>
    </row>
    <row r="377" spans="1:8" x14ac:dyDescent="0.3">
      <c r="A377" s="7"/>
    </row>
    <row r="378" spans="1:8" x14ac:dyDescent="0.3">
      <c r="A378" s="7"/>
    </row>
    <row r="379" spans="1:8" x14ac:dyDescent="0.3">
      <c r="A379" s="7"/>
    </row>
    <row r="380" spans="1:8" x14ac:dyDescent="0.3">
      <c r="A380" s="7"/>
    </row>
    <row r="381" spans="1:8" x14ac:dyDescent="0.3">
      <c r="A381" s="7"/>
    </row>
    <row r="382" spans="1:8" x14ac:dyDescent="0.3">
      <c r="A382" s="7"/>
    </row>
    <row r="383" spans="1:8" x14ac:dyDescent="0.3">
      <c r="A383" s="7"/>
    </row>
    <row r="384" spans="1:8" x14ac:dyDescent="0.3">
      <c r="A384" s="7"/>
    </row>
    <row r="385" spans="1:1" x14ac:dyDescent="0.3">
      <c r="A385" s="7"/>
    </row>
    <row r="386" spans="1:1" x14ac:dyDescent="0.3">
      <c r="A386" s="7"/>
    </row>
    <row r="387" spans="1:1" x14ac:dyDescent="0.3">
      <c r="A387" s="7"/>
    </row>
    <row r="388" spans="1:1" x14ac:dyDescent="0.3">
      <c r="A388" s="7"/>
    </row>
    <row r="389" spans="1:1" x14ac:dyDescent="0.3">
      <c r="A389" s="7"/>
    </row>
    <row r="390" spans="1:1" x14ac:dyDescent="0.3">
      <c r="A390" s="7"/>
    </row>
    <row r="391" spans="1:1" x14ac:dyDescent="0.3">
      <c r="A391" s="7"/>
    </row>
    <row r="392" spans="1:1" x14ac:dyDescent="0.3">
      <c r="A392" s="7"/>
    </row>
    <row r="393" spans="1:1" x14ac:dyDescent="0.3">
      <c r="A393" s="7"/>
    </row>
    <row r="394" spans="1:1" x14ac:dyDescent="0.3">
      <c r="A394" s="7"/>
    </row>
    <row r="395" spans="1:1" x14ac:dyDescent="0.3">
      <c r="A395" s="7"/>
    </row>
    <row r="396" spans="1:1" x14ac:dyDescent="0.3">
      <c r="A396" s="7"/>
    </row>
    <row r="397" spans="1:1" x14ac:dyDescent="0.3">
      <c r="A397" s="7"/>
    </row>
    <row r="398" spans="1:1" x14ac:dyDescent="0.3">
      <c r="A398" s="7"/>
    </row>
    <row r="399" spans="1:1" x14ac:dyDescent="0.3">
      <c r="A399" s="7"/>
    </row>
    <row r="400" spans="1:1" x14ac:dyDescent="0.3">
      <c r="A400" s="7"/>
    </row>
    <row r="401" spans="1:1" x14ac:dyDescent="0.3">
      <c r="A401" s="7"/>
    </row>
    <row r="402" spans="1:1" x14ac:dyDescent="0.3">
      <c r="A402" s="7"/>
    </row>
    <row r="403" spans="1:1" x14ac:dyDescent="0.3">
      <c r="A403" s="7"/>
    </row>
    <row r="404" spans="1:1" x14ac:dyDescent="0.3">
      <c r="A404" s="7"/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  <row r="438" spans="1:1" x14ac:dyDescent="0.3">
      <c r="A438" s="7"/>
    </row>
    <row r="439" spans="1:1" x14ac:dyDescent="0.3">
      <c r="A439" s="7"/>
    </row>
    <row r="440" spans="1:1" x14ac:dyDescent="0.3">
      <c r="A440" s="7"/>
    </row>
    <row r="441" spans="1:1" x14ac:dyDescent="0.3">
      <c r="A441" s="7"/>
    </row>
    <row r="442" spans="1:1" x14ac:dyDescent="0.3">
      <c r="A442" s="7"/>
    </row>
    <row r="443" spans="1:1" x14ac:dyDescent="0.3">
      <c r="A443" s="7"/>
    </row>
    <row r="444" spans="1:1" x14ac:dyDescent="0.3">
      <c r="A444" s="7"/>
    </row>
    <row r="445" spans="1:1" x14ac:dyDescent="0.3">
      <c r="A445" s="7"/>
    </row>
    <row r="446" spans="1:1" x14ac:dyDescent="0.3">
      <c r="A446" s="7"/>
    </row>
    <row r="447" spans="1:1" x14ac:dyDescent="0.3">
      <c r="A447" s="7"/>
    </row>
    <row r="448" spans="1:1" x14ac:dyDescent="0.3">
      <c r="A448" s="7"/>
    </row>
    <row r="449" spans="1:1" x14ac:dyDescent="0.3">
      <c r="A449" s="7"/>
    </row>
    <row r="450" spans="1:1" x14ac:dyDescent="0.3">
      <c r="A450" s="7"/>
    </row>
    <row r="451" spans="1:1" x14ac:dyDescent="0.3">
      <c r="A451" s="7"/>
    </row>
    <row r="452" spans="1:1" x14ac:dyDescent="0.3">
      <c r="A452" s="7"/>
    </row>
    <row r="453" spans="1:1" x14ac:dyDescent="0.3">
      <c r="A453" s="7"/>
    </row>
    <row r="454" spans="1:1" x14ac:dyDescent="0.3">
      <c r="A454" s="7"/>
    </row>
    <row r="455" spans="1:1" x14ac:dyDescent="0.3">
      <c r="A455" s="7"/>
    </row>
    <row r="456" spans="1:1" x14ac:dyDescent="0.3">
      <c r="A456" s="7"/>
    </row>
    <row r="457" spans="1:1" x14ac:dyDescent="0.3">
      <c r="A457" s="7"/>
    </row>
    <row r="458" spans="1:1" x14ac:dyDescent="0.3">
      <c r="A458" s="7"/>
    </row>
    <row r="459" spans="1:1" x14ac:dyDescent="0.3">
      <c r="A459" s="7"/>
    </row>
    <row r="460" spans="1:1" x14ac:dyDescent="0.3">
      <c r="A460" s="7"/>
    </row>
    <row r="461" spans="1:1" x14ac:dyDescent="0.3">
      <c r="A461" s="7"/>
    </row>
    <row r="462" spans="1:1" x14ac:dyDescent="0.3">
      <c r="A462" s="7"/>
    </row>
    <row r="463" spans="1:1" x14ac:dyDescent="0.3">
      <c r="A463" s="7"/>
    </row>
    <row r="464" spans="1:1" x14ac:dyDescent="0.3">
      <c r="A464" s="7"/>
    </row>
    <row r="465" spans="1:1" x14ac:dyDescent="0.3">
      <c r="A465" s="7"/>
    </row>
    <row r="466" spans="1:1" x14ac:dyDescent="0.3">
      <c r="A466" s="7"/>
    </row>
    <row r="467" spans="1:1" x14ac:dyDescent="0.3">
      <c r="A467" s="7"/>
    </row>
    <row r="468" spans="1:1" x14ac:dyDescent="0.3">
      <c r="A468" s="7"/>
    </row>
    <row r="469" spans="1:1" x14ac:dyDescent="0.3">
      <c r="A469" s="7"/>
    </row>
    <row r="470" spans="1:1" x14ac:dyDescent="0.3">
      <c r="A470" s="7"/>
    </row>
    <row r="471" spans="1:1" x14ac:dyDescent="0.3">
      <c r="A471" s="7"/>
    </row>
    <row r="472" spans="1:1" x14ac:dyDescent="0.3">
      <c r="A472" s="7"/>
    </row>
    <row r="473" spans="1:1" x14ac:dyDescent="0.3">
      <c r="A473" s="7"/>
    </row>
    <row r="474" spans="1:1" x14ac:dyDescent="0.3">
      <c r="A474" s="7"/>
    </row>
    <row r="475" spans="1:1" x14ac:dyDescent="0.3">
      <c r="A475" s="7"/>
    </row>
    <row r="476" spans="1:1" x14ac:dyDescent="0.3">
      <c r="A476" s="7"/>
    </row>
    <row r="477" spans="1:1" x14ac:dyDescent="0.3">
      <c r="A477" s="7"/>
    </row>
    <row r="478" spans="1:1" x14ac:dyDescent="0.3">
      <c r="A478" s="7"/>
    </row>
    <row r="479" spans="1:1" x14ac:dyDescent="0.3">
      <c r="A479" s="7"/>
    </row>
    <row r="480" spans="1:1" x14ac:dyDescent="0.3">
      <c r="A480" s="7"/>
    </row>
    <row r="481" spans="1:1" x14ac:dyDescent="0.3">
      <c r="A481" s="7"/>
    </row>
    <row r="482" spans="1:1" x14ac:dyDescent="0.3">
      <c r="A482" s="7"/>
    </row>
    <row r="483" spans="1:1" x14ac:dyDescent="0.3">
      <c r="A483" s="7"/>
    </row>
    <row r="484" spans="1:1" x14ac:dyDescent="0.3">
      <c r="A484" s="7"/>
    </row>
    <row r="485" spans="1:1" x14ac:dyDescent="0.3">
      <c r="A485" s="7"/>
    </row>
    <row r="486" spans="1:1" x14ac:dyDescent="0.3">
      <c r="A486" s="7"/>
    </row>
    <row r="487" spans="1:1" x14ac:dyDescent="0.3">
      <c r="A487" s="7"/>
    </row>
    <row r="488" spans="1:1" x14ac:dyDescent="0.3">
      <c r="A488" s="7"/>
    </row>
    <row r="489" spans="1:1" x14ac:dyDescent="0.3">
      <c r="A489" s="7"/>
    </row>
    <row r="490" spans="1:1" x14ac:dyDescent="0.3">
      <c r="A490" s="7"/>
    </row>
    <row r="491" spans="1:1" x14ac:dyDescent="0.3">
      <c r="A491" s="7"/>
    </row>
    <row r="492" spans="1:1" x14ac:dyDescent="0.3">
      <c r="A492" s="7"/>
    </row>
    <row r="493" spans="1:1" x14ac:dyDescent="0.3">
      <c r="A493" s="7"/>
    </row>
    <row r="494" spans="1:1" x14ac:dyDescent="0.3">
      <c r="A494" s="7"/>
    </row>
    <row r="495" spans="1:1" x14ac:dyDescent="0.3">
      <c r="A495" s="7"/>
    </row>
    <row r="496" spans="1:1" x14ac:dyDescent="0.3">
      <c r="A496" s="7"/>
    </row>
    <row r="497" spans="1:1" x14ac:dyDescent="0.3">
      <c r="A497" s="7"/>
    </row>
    <row r="498" spans="1:1" x14ac:dyDescent="0.3">
      <c r="A498" s="7"/>
    </row>
    <row r="499" spans="1:1" x14ac:dyDescent="0.3">
      <c r="A499" s="7"/>
    </row>
    <row r="500" spans="1:1" x14ac:dyDescent="0.3">
      <c r="A500" s="7"/>
    </row>
    <row r="501" spans="1:1" x14ac:dyDescent="0.3">
      <c r="A501" s="7"/>
    </row>
    <row r="502" spans="1:1" x14ac:dyDescent="0.3">
      <c r="A502" s="7"/>
    </row>
    <row r="503" spans="1:1" x14ac:dyDescent="0.3">
      <c r="A503" s="7"/>
    </row>
    <row r="504" spans="1:1" x14ac:dyDescent="0.3">
      <c r="A504" s="7"/>
    </row>
    <row r="505" spans="1:1" x14ac:dyDescent="0.3">
      <c r="A505" s="7"/>
    </row>
    <row r="506" spans="1:1" x14ac:dyDescent="0.3">
      <c r="A506" s="7"/>
    </row>
    <row r="507" spans="1:1" x14ac:dyDescent="0.3">
      <c r="A507" s="7"/>
    </row>
    <row r="508" spans="1:1" x14ac:dyDescent="0.3">
      <c r="A508" s="7"/>
    </row>
    <row r="509" spans="1:1" x14ac:dyDescent="0.3">
      <c r="A509" s="7"/>
    </row>
    <row r="510" spans="1:1" x14ac:dyDescent="0.3">
      <c r="A510" s="7"/>
    </row>
    <row r="511" spans="1:1" x14ac:dyDescent="0.3">
      <c r="A511" s="7"/>
    </row>
    <row r="512" spans="1:1" x14ac:dyDescent="0.3">
      <c r="A512" s="7"/>
    </row>
    <row r="513" spans="1:1" x14ac:dyDescent="0.3">
      <c r="A513" s="7"/>
    </row>
    <row r="514" spans="1:1" x14ac:dyDescent="0.3">
      <c r="A514" s="7"/>
    </row>
    <row r="515" spans="1:1" x14ac:dyDescent="0.3">
      <c r="A515" s="7"/>
    </row>
    <row r="516" spans="1:1" x14ac:dyDescent="0.3">
      <c r="A516" s="7"/>
    </row>
    <row r="517" spans="1:1" x14ac:dyDescent="0.3">
      <c r="A517" s="7"/>
    </row>
    <row r="518" spans="1:1" x14ac:dyDescent="0.3">
      <c r="A518" s="7"/>
    </row>
    <row r="519" spans="1:1" x14ac:dyDescent="0.3">
      <c r="A519" s="7"/>
    </row>
    <row r="520" spans="1:1" x14ac:dyDescent="0.3">
      <c r="A520" s="7"/>
    </row>
    <row r="521" spans="1:1" x14ac:dyDescent="0.3">
      <c r="A521" s="7"/>
    </row>
    <row r="522" spans="1:1" x14ac:dyDescent="0.3">
      <c r="A522" s="7"/>
    </row>
    <row r="523" spans="1:1" x14ac:dyDescent="0.3">
      <c r="A523" s="7"/>
    </row>
    <row r="524" spans="1:1" x14ac:dyDescent="0.3">
      <c r="A524" s="7"/>
    </row>
    <row r="525" spans="1:1" x14ac:dyDescent="0.3">
      <c r="A525" s="7"/>
    </row>
    <row r="526" spans="1:1" x14ac:dyDescent="0.3">
      <c r="A526" s="7"/>
    </row>
    <row r="527" spans="1:1" x14ac:dyDescent="0.3">
      <c r="A527" s="7"/>
    </row>
    <row r="528" spans="1:1" x14ac:dyDescent="0.3">
      <c r="A528" s="7"/>
    </row>
    <row r="529" spans="1:1" x14ac:dyDescent="0.3">
      <c r="A529" s="7"/>
    </row>
    <row r="530" spans="1:1" x14ac:dyDescent="0.3">
      <c r="A530" s="7"/>
    </row>
    <row r="531" spans="1:1" x14ac:dyDescent="0.3">
      <c r="A531" s="7"/>
    </row>
    <row r="532" spans="1:1" x14ac:dyDescent="0.3">
      <c r="A532" s="7"/>
    </row>
    <row r="533" spans="1:1" x14ac:dyDescent="0.3">
      <c r="A533" s="7"/>
    </row>
    <row r="534" spans="1:1" x14ac:dyDescent="0.3">
      <c r="A534" s="7"/>
    </row>
    <row r="535" spans="1:1" x14ac:dyDescent="0.3">
      <c r="A535" s="7"/>
    </row>
    <row r="536" spans="1:1" x14ac:dyDescent="0.3">
      <c r="A536" s="7"/>
    </row>
    <row r="537" spans="1:1" x14ac:dyDescent="0.3">
      <c r="A537" s="7"/>
    </row>
    <row r="538" spans="1:1" x14ac:dyDescent="0.3">
      <c r="A538" s="7"/>
    </row>
    <row r="539" spans="1:1" x14ac:dyDescent="0.3">
      <c r="A539" s="7"/>
    </row>
    <row r="540" spans="1:1" x14ac:dyDescent="0.3">
      <c r="A540" s="7"/>
    </row>
    <row r="541" spans="1:1" x14ac:dyDescent="0.3">
      <c r="A541" s="7"/>
    </row>
    <row r="542" spans="1:1" x14ac:dyDescent="0.3">
      <c r="A542" s="7"/>
    </row>
    <row r="543" spans="1:1" x14ac:dyDescent="0.3">
      <c r="A543" s="7"/>
    </row>
    <row r="544" spans="1:1" x14ac:dyDescent="0.3">
      <c r="A544" s="7"/>
    </row>
    <row r="545" spans="1:1" x14ac:dyDescent="0.3">
      <c r="A545" s="7"/>
    </row>
    <row r="546" spans="1:1" x14ac:dyDescent="0.3">
      <c r="A546" s="7"/>
    </row>
    <row r="547" spans="1:1" x14ac:dyDescent="0.3">
      <c r="A547" s="7"/>
    </row>
    <row r="548" spans="1:1" x14ac:dyDescent="0.3">
      <c r="A548" s="7"/>
    </row>
    <row r="549" spans="1:1" x14ac:dyDescent="0.3">
      <c r="A549" s="7"/>
    </row>
    <row r="550" spans="1:1" x14ac:dyDescent="0.3">
      <c r="A550" s="7"/>
    </row>
    <row r="551" spans="1:1" x14ac:dyDescent="0.3">
      <c r="A551" s="7"/>
    </row>
    <row r="552" spans="1:1" x14ac:dyDescent="0.3">
      <c r="A552" s="7"/>
    </row>
    <row r="553" spans="1:1" x14ac:dyDescent="0.3">
      <c r="A553" s="7"/>
    </row>
    <row r="554" spans="1:1" x14ac:dyDescent="0.3">
      <c r="A554" s="7"/>
    </row>
    <row r="555" spans="1:1" x14ac:dyDescent="0.3">
      <c r="A555" s="7"/>
    </row>
    <row r="556" spans="1:1" x14ac:dyDescent="0.3">
      <c r="A556" s="7"/>
    </row>
    <row r="557" spans="1:1" x14ac:dyDescent="0.3">
      <c r="A557" s="7"/>
    </row>
    <row r="558" spans="1:1" x14ac:dyDescent="0.3">
      <c r="A558" s="7"/>
    </row>
    <row r="559" spans="1:1" x14ac:dyDescent="0.3">
      <c r="A559" s="7"/>
    </row>
    <row r="560" spans="1:1" x14ac:dyDescent="0.3">
      <c r="A560" s="7"/>
    </row>
    <row r="561" spans="1:1" x14ac:dyDescent="0.3">
      <c r="A561" s="7"/>
    </row>
    <row r="562" spans="1:1" x14ac:dyDescent="0.3">
      <c r="A562" s="7"/>
    </row>
    <row r="563" spans="1:1" x14ac:dyDescent="0.3">
      <c r="A563" s="7"/>
    </row>
    <row r="564" spans="1:1" x14ac:dyDescent="0.3">
      <c r="A564" s="7"/>
    </row>
    <row r="565" spans="1:1" x14ac:dyDescent="0.3">
      <c r="A565" s="7"/>
    </row>
    <row r="566" spans="1:1" x14ac:dyDescent="0.3">
      <c r="A566" s="7"/>
    </row>
    <row r="567" spans="1:1" x14ac:dyDescent="0.3">
      <c r="A567" s="7"/>
    </row>
    <row r="568" spans="1:1" x14ac:dyDescent="0.3">
      <c r="A568" s="7"/>
    </row>
    <row r="569" spans="1:1" x14ac:dyDescent="0.3">
      <c r="A569" s="7"/>
    </row>
    <row r="570" spans="1:1" x14ac:dyDescent="0.3">
      <c r="A570" s="7"/>
    </row>
    <row r="571" spans="1:1" x14ac:dyDescent="0.3">
      <c r="A571" s="7"/>
    </row>
    <row r="572" spans="1:1" x14ac:dyDescent="0.3">
      <c r="A572" s="7"/>
    </row>
    <row r="573" spans="1:1" x14ac:dyDescent="0.3">
      <c r="A573" s="7"/>
    </row>
    <row r="574" spans="1:1" x14ac:dyDescent="0.3">
      <c r="A574" s="7"/>
    </row>
    <row r="575" spans="1:1" x14ac:dyDescent="0.3">
      <c r="A575" s="7"/>
    </row>
    <row r="576" spans="1:1" x14ac:dyDescent="0.3">
      <c r="A576" s="7"/>
    </row>
    <row r="577" spans="1:1" x14ac:dyDescent="0.3">
      <c r="A577" s="7"/>
    </row>
    <row r="578" spans="1:1" x14ac:dyDescent="0.3">
      <c r="A578" s="7"/>
    </row>
    <row r="579" spans="1:1" x14ac:dyDescent="0.3">
      <c r="A579" s="7"/>
    </row>
    <row r="580" spans="1:1" x14ac:dyDescent="0.3">
      <c r="A580" s="7"/>
    </row>
    <row r="581" spans="1:1" x14ac:dyDescent="0.3">
      <c r="A581" s="7"/>
    </row>
    <row r="582" spans="1:1" x14ac:dyDescent="0.3">
      <c r="A582" s="7"/>
    </row>
    <row r="583" spans="1:1" x14ac:dyDescent="0.3">
      <c r="A583" s="7"/>
    </row>
    <row r="584" spans="1:1" x14ac:dyDescent="0.3">
      <c r="A584" s="7"/>
    </row>
    <row r="585" spans="1:1" x14ac:dyDescent="0.3">
      <c r="A585" s="7"/>
    </row>
    <row r="586" spans="1:1" x14ac:dyDescent="0.3">
      <c r="A586" s="7"/>
    </row>
    <row r="587" spans="1:1" x14ac:dyDescent="0.3">
      <c r="A587" s="7"/>
    </row>
    <row r="588" spans="1:1" x14ac:dyDescent="0.3">
      <c r="A588" s="7"/>
    </row>
    <row r="589" spans="1:1" x14ac:dyDescent="0.3">
      <c r="A589" s="7"/>
    </row>
    <row r="590" spans="1:1" x14ac:dyDescent="0.3">
      <c r="A590" s="7"/>
    </row>
    <row r="591" spans="1:1" x14ac:dyDescent="0.3">
      <c r="A591" s="7"/>
    </row>
    <row r="592" spans="1:1" x14ac:dyDescent="0.3">
      <c r="A592" s="7"/>
    </row>
    <row r="593" spans="1:1" x14ac:dyDescent="0.3">
      <c r="A593" s="7"/>
    </row>
    <row r="594" spans="1:1" x14ac:dyDescent="0.3">
      <c r="A594" s="7"/>
    </row>
    <row r="595" spans="1:1" x14ac:dyDescent="0.3">
      <c r="A595" s="7"/>
    </row>
    <row r="596" spans="1:1" x14ac:dyDescent="0.3">
      <c r="A596" s="7"/>
    </row>
    <row r="597" spans="1:1" x14ac:dyDescent="0.3">
      <c r="A597" s="7"/>
    </row>
    <row r="598" spans="1:1" x14ac:dyDescent="0.3">
      <c r="A598" s="7"/>
    </row>
    <row r="599" spans="1:1" x14ac:dyDescent="0.3">
      <c r="A599" s="7"/>
    </row>
    <row r="600" spans="1:1" x14ac:dyDescent="0.3">
      <c r="A600" s="7"/>
    </row>
    <row r="601" spans="1:1" x14ac:dyDescent="0.3">
      <c r="A601" s="7"/>
    </row>
    <row r="602" spans="1:1" x14ac:dyDescent="0.3">
      <c r="A602" s="7"/>
    </row>
    <row r="603" spans="1:1" x14ac:dyDescent="0.3">
      <c r="A603" s="7"/>
    </row>
    <row r="604" spans="1:1" x14ac:dyDescent="0.3">
      <c r="A604" s="7"/>
    </row>
    <row r="605" spans="1:1" x14ac:dyDescent="0.3">
      <c r="A605" s="7"/>
    </row>
    <row r="606" spans="1:1" x14ac:dyDescent="0.3">
      <c r="A606" s="7"/>
    </row>
    <row r="607" spans="1:1" x14ac:dyDescent="0.3">
      <c r="A607" s="7"/>
    </row>
    <row r="608" spans="1:1" x14ac:dyDescent="0.3">
      <c r="A608" s="7"/>
    </row>
    <row r="609" spans="1:1" x14ac:dyDescent="0.3">
      <c r="A609" s="7"/>
    </row>
    <row r="610" spans="1:1" x14ac:dyDescent="0.3">
      <c r="A610" s="7"/>
    </row>
    <row r="611" spans="1:1" x14ac:dyDescent="0.3">
      <c r="A611" s="7"/>
    </row>
    <row r="612" spans="1:1" x14ac:dyDescent="0.3">
      <c r="A612" s="7"/>
    </row>
    <row r="613" spans="1:1" x14ac:dyDescent="0.3">
      <c r="A613" s="7"/>
    </row>
    <row r="614" spans="1:1" x14ac:dyDescent="0.3">
      <c r="A614" s="7"/>
    </row>
    <row r="615" spans="1:1" x14ac:dyDescent="0.3">
      <c r="A615" s="7"/>
    </row>
    <row r="616" spans="1:1" x14ac:dyDescent="0.3">
      <c r="A616" s="7"/>
    </row>
    <row r="617" spans="1:1" x14ac:dyDescent="0.3">
      <c r="A617" s="7"/>
    </row>
    <row r="618" spans="1:1" x14ac:dyDescent="0.3">
      <c r="A618" s="7"/>
    </row>
    <row r="619" spans="1:1" x14ac:dyDescent="0.3">
      <c r="A619" s="7"/>
    </row>
    <row r="620" spans="1:1" x14ac:dyDescent="0.3">
      <c r="A620" s="7"/>
    </row>
    <row r="621" spans="1:1" x14ac:dyDescent="0.3">
      <c r="A621" s="7"/>
    </row>
    <row r="622" spans="1:1" x14ac:dyDescent="0.3">
      <c r="A622" s="7"/>
    </row>
    <row r="623" spans="1:1" x14ac:dyDescent="0.3">
      <c r="A623" s="7"/>
    </row>
    <row r="624" spans="1:1" x14ac:dyDescent="0.3">
      <c r="A624" s="7"/>
    </row>
    <row r="625" spans="1:1" x14ac:dyDescent="0.3">
      <c r="A625" s="7"/>
    </row>
    <row r="626" spans="1:1" x14ac:dyDescent="0.3">
      <c r="A626" s="7"/>
    </row>
    <row r="627" spans="1:1" x14ac:dyDescent="0.3">
      <c r="A627" s="7"/>
    </row>
    <row r="628" spans="1:1" x14ac:dyDescent="0.3">
      <c r="A628" s="7"/>
    </row>
    <row r="629" spans="1:1" x14ac:dyDescent="0.3">
      <c r="A629" s="7"/>
    </row>
    <row r="630" spans="1:1" x14ac:dyDescent="0.3">
      <c r="A630" s="7"/>
    </row>
    <row r="631" spans="1:1" x14ac:dyDescent="0.3">
      <c r="A631" s="7"/>
    </row>
    <row r="632" spans="1:1" x14ac:dyDescent="0.3">
      <c r="A632" s="7"/>
    </row>
    <row r="633" spans="1:1" x14ac:dyDescent="0.3">
      <c r="A633" s="7"/>
    </row>
    <row r="634" spans="1:1" x14ac:dyDescent="0.3">
      <c r="A634" s="7"/>
    </row>
    <row r="635" spans="1:1" x14ac:dyDescent="0.3">
      <c r="A635" s="7"/>
    </row>
    <row r="636" spans="1:1" x14ac:dyDescent="0.3">
      <c r="A636" s="7"/>
    </row>
    <row r="637" spans="1:1" x14ac:dyDescent="0.3">
      <c r="A637" s="7"/>
    </row>
    <row r="638" spans="1:1" x14ac:dyDescent="0.3">
      <c r="A638" s="7"/>
    </row>
    <row r="639" spans="1:1" x14ac:dyDescent="0.3">
      <c r="A639" s="7"/>
    </row>
    <row r="640" spans="1:1" x14ac:dyDescent="0.3">
      <c r="A640" s="7"/>
    </row>
    <row r="641" spans="1:1" x14ac:dyDescent="0.3">
      <c r="A641" s="7"/>
    </row>
    <row r="642" spans="1:1" x14ac:dyDescent="0.3">
      <c r="A642" s="7"/>
    </row>
    <row r="643" spans="1:1" x14ac:dyDescent="0.3">
      <c r="A643" s="7"/>
    </row>
    <row r="644" spans="1:1" x14ac:dyDescent="0.3">
      <c r="A644" s="7"/>
    </row>
    <row r="645" spans="1:1" x14ac:dyDescent="0.3">
      <c r="A645" s="7"/>
    </row>
    <row r="646" spans="1:1" x14ac:dyDescent="0.3">
      <c r="A646" s="7"/>
    </row>
    <row r="647" spans="1:1" x14ac:dyDescent="0.3">
      <c r="A647" s="7"/>
    </row>
    <row r="648" spans="1:1" x14ac:dyDescent="0.3">
      <c r="A648" s="7"/>
    </row>
    <row r="649" spans="1:1" x14ac:dyDescent="0.3">
      <c r="A649" s="7"/>
    </row>
    <row r="650" spans="1:1" x14ac:dyDescent="0.3">
      <c r="A650" s="7"/>
    </row>
    <row r="651" spans="1:1" x14ac:dyDescent="0.3">
      <c r="A651" s="7"/>
    </row>
    <row r="652" spans="1:1" x14ac:dyDescent="0.3">
      <c r="A652" s="7"/>
    </row>
    <row r="653" spans="1:1" x14ac:dyDescent="0.3">
      <c r="A653" s="7"/>
    </row>
    <row r="654" spans="1:1" x14ac:dyDescent="0.3">
      <c r="A654" s="7"/>
    </row>
    <row r="655" spans="1:1" x14ac:dyDescent="0.3">
      <c r="A655" s="7"/>
    </row>
    <row r="656" spans="1:1" x14ac:dyDescent="0.3">
      <c r="A656" s="7"/>
    </row>
    <row r="657" spans="1:1" x14ac:dyDescent="0.3">
      <c r="A657" s="7"/>
    </row>
    <row r="658" spans="1:1" x14ac:dyDescent="0.3">
      <c r="A658" s="7"/>
    </row>
    <row r="659" spans="1:1" x14ac:dyDescent="0.3">
      <c r="A659" s="7"/>
    </row>
    <row r="660" spans="1:1" x14ac:dyDescent="0.3">
      <c r="A660" s="7"/>
    </row>
    <row r="661" spans="1:1" x14ac:dyDescent="0.3">
      <c r="A661" s="7"/>
    </row>
    <row r="662" spans="1:1" x14ac:dyDescent="0.3">
      <c r="A662" s="7"/>
    </row>
    <row r="663" spans="1:1" x14ac:dyDescent="0.3">
      <c r="A663" s="7"/>
    </row>
    <row r="664" spans="1:1" x14ac:dyDescent="0.3">
      <c r="A664" s="7"/>
    </row>
    <row r="665" spans="1:1" x14ac:dyDescent="0.3">
      <c r="A665" s="7"/>
    </row>
    <row r="666" spans="1:1" x14ac:dyDescent="0.3">
      <c r="A666" s="7"/>
    </row>
    <row r="667" spans="1:1" x14ac:dyDescent="0.3">
      <c r="A667" s="7"/>
    </row>
    <row r="668" spans="1:1" x14ac:dyDescent="0.3">
      <c r="A668" s="7"/>
    </row>
    <row r="669" spans="1:1" x14ac:dyDescent="0.3">
      <c r="A669" s="7"/>
    </row>
    <row r="670" spans="1:1" x14ac:dyDescent="0.3">
      <c r="A670" s="7"/>
    </row>
    <row r="671" spans="1:1" x14ac:dyDescent="0.3">
      <c r="A671" s="7"/>
    </row>
    <row r="672" spans="1:1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</sheetData>
  <autoFilter ref="A2:I370" xr:uid="{5046B740-713C-4C5B-ADEF-8FBE93A3D42B}"/>
  <phoneticPr fontId="1" type="noConversion"/>
  <conditionalFormatting sqref="B3:G999">
    <cfRule type="expression" dxfId="3" priority="3">
      <formula>AND($D3&lt;&gt;"", B3="")</formula>
    </cfRule>
  </conditionalFormatting>
  <conditionalFormatting sqref="A3:I999">
    <cfRule type="expression" dxfId="2" priority="1">
      <formula>$B3="출고"</formula>
    </cfRule>
  </conditionalFormatting>
  <dataValidations count="2">
    <dataValidation type="list" allowBlank="1" showInputMessage="1" showErrorMessage="1" sqref="C333:C355 C3:C139" xr:uid="{3B851B4D-EE97-4884-9A2B-2223955C89BB}">
      <formula1>"프랑스,이탈리아,미국,칠레,호주,스페인,포르투갈,기타"</formula1>
    </dataValidation>
    <dataValidation type="list" allowBlank="1" showInputMessage="1" showErrorMessage="1" sqref="B2:B1048576" xr:uid="{05D24579-8CF7-42B3-85C8-7433687023E3}">
      <formula1>"입고,출고"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DB08122C-8501-42F9-9F8C-AA895862BC37}">
          <x14:formula1>
            <xm:f>와인재고현황!$B$3:$B$823</xm:f>
          </x14:formula1>
          <xm:sqref>D333</xm:sqref>
        </x14:dataValidation>
        <x14:dataValidation type="list" allowBlank="1" showInputMessage="1" showErrorMessage="1" xr:uid="{EC5A9034-085F-4A30-97D0-CF22D59CB529}">
          <x14:formula1>
            <xm:f>와인재고현황!$B$3:$B$823</xm:f>
          </x14:formula1>
          <xm:sqref>D98:D100 D295 D334:D345 D35:D60 D347:D355 D62:D96 D323 D3:D33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DC41-F900-4D73-9994-54042D8C0959}">
  <sheetPr>
    <tabColor rgb="FFFFC000"/>
    <pageSetUpPr fitToPage="1"/>
  </sheetPr>
  <dimension ref="A1:S345"/>
  <sheetViews>
    <sheetView showGridLines="0" tabSelected="1" workbookViewId="0">
      <selection activeCell="E14" sqref="E14"/>
    </sheetView>
    <sheetView workbookViewId="1">
      <selection activeCell="B22" sqref="B22"/>
    </sheetView>
  </sheetViews>
  <sheetFormatPr defaultRowHeight="16.5" x14ac:dyDescent="0.3"/>
  <cols>
    <col min="1" max="1" width="8.875" style="1" bestFit="1" customWidth="1"/>
    <col min="2" max="2" width="60" style="1" bestFit="1" customWidth="1"/>
    <col min="3" max="3" width="7.125" style="1" bestFit="1" customWidth="1"/>
    <col min="4" max="4" width="13.5" style="1" bestFit="1" customWidth="1"/>
    <col min="5" max="7" width="10.625" customWidth="1"/>
    <col min="8" max="8" width="9" style="1" customWidth="1"/>
    <col min="9" max="9" width="25.75" style="1" bestFit="1" customWidth="1"/>
    <col min="11" max="11" width="15" style="1" customWidth="1"/>
    <col min="12" max="12" width="9.25" style="14" customWidth="1"/>
    <col min="13" max="13" width="9.25" style="15" customWidth="1"/>
    <col min="14" max="14" width="3.5" customWidth="1"/>
    <col min="15" max="15" width="15.125" bestFit="1" customWidth="1"/>
    <col min="17" max="17" width="36.375" bestFit="1" customWidth="1"/>
    <col min="19" max="19" width="9" style="15"/>
  </cols>
  <sheetData>
    <row r="1" spans="1:19" ht="35.25" customHeight="1" x14ac:dyDescent="0.3">
      <c r="A1" s="3" t="s">
        <v>85</v>
      </c>
      <c r="B1" s="2"/>
      <c r="C1" s="2"/>
      <c r="D1" s="2"/>
      <c r="E1" s="2"/>
      <c r="F1" s="2"/>
      <c r="G1" s="2"/>
      <c r="H1" s="2"/>
      <c r="I1" s="2"/>
      <c r="K1" s="5"/>
      <c r="L1" s="13"/>
      <c r="O1" s="16"/>
      <c r="P1" s="9"/>
    </row>
    <row r="2" spans="1:19" ht="21" customHeight="1" x14ac:dyDescent="0.3">
      <c r="A2" s="10" t="s">
        <v>21</v>
      </c>
      <c r="B2" s="11" t="s">
        <v>2</v>
      </c>
      <c r="C2" s="11" t="s">
        <v>3</v>
      </c>
      <c r="D2" s="11" t="s">
        <v>5</v>
      </c>
      <c r="E2" s="11" t="s">
        <v>8</v>
      </c>
      <c r="F2" s="11" t="s">
        <v>9</v>
      </c>
      <c r="G2" s="11" t="s">
        <v>10</v>
      </c>
      <c r="H2" s="12" t="s">
        <v>11</v>
      </c>
      <c r="I2" s="19" t="s">
        <v>7</v>
      </c>
      <c r="K2" s="5"/>
      <c r="L2" s="17"/>
      <c r="M2" s="18"/>
      <c r="N2" s="1"/>
      <c r="P2" s="5"/>
      <c r="Q2" s="5"/>
      <c r="R2" s="5"/>
      <c r="S2" s="18"/>
    </row>
    <row r="3" spans="1:19" ht="17.25" x14ac:dyDescent="0.3">
      <c r="A3" s="20" t="str" cm="1">
        <f t="array" ref="A3:D345">_xlfn.LET(
  _xlpm.data, _xlfn.UNIQUE(_xlfn._xlws.FILTER(입출고대장!C3:F2999, 입출고대장!D3:D2999&lt;&gt;"")),
  _xlpm.racks, INDEX(_xlpm.data,,4),
  _xlpm.rack_num, IFERROR(--_xlfn.TEXTBEFORE(_xlpm.racks, "번"), 999),
  _xlpm.country, INDEX(_xlpm.data,,1),
  _xlpm.w_name, INDEX(_xlpm.data,,2),
  _xlpm.vint, INDEX(_xlpm.data,,3),
  _xlfn.SORTBY(_xlpm.data, _xlpm.rack_num, 1, _xlpm.racks, 1, _xlpm.country, 1, _xlpm.w_name, 1, _xlpm.vint, 1)
)</f>
        <v>미국</v>
      </c>
      <c r="B3" s="21" t="str">
        <v>로버트 몬다비,까베르네 소비뇽 리저브</v>
      </c>
      <c r="C3" s="21">
        <v>2009</v>
      </c>
      <c r="D3" s="21" t="str">
        <v>1번랙</v>
      </c>
      <c r="E3" s="22" cm="1">
        <f t="array" ref="E3:E345">_xlfn.MAP(INDEX(_xlfn.ANCHORARRAY(A3),,2), INDEX(_xlfn.ANCHORARRAY(A3),,3), INDEX(_xlfn.ANCHORARRAY(A3),,4), _xlfn.LAMBDA(_xlpm.w,_xlpm.v,_xlpm.l, SUMIFS(입출고대장!G:G, 입출고대장!D:D, _xlpm.w, 입출고대장!E:E, _xlpm.v, 입출고대장!F:F, _xlpm.l, 입출고대장!B:B, "입고")))</f>
        <v>3</v>
      </c>
      <c r="F3" s="22" cm="1">
        <f t="array" ref="F3:F345">_xlfn.MAP(INDEX(_xlfn.ANCHORARRAY(A3),,2), INDEX(_xlfn.ANCHORARRAY(A3),,3), INDEX(_xlfn.ANCHORARRAY(A3),,4), _xlfn.LAMBDA(_xlpm.w,_xlpm.v,_xlpm.l, SUMIFS(입출고대장!G:G, 입출고대장!D:D, _xlpm.w, 입출고대장!E:E, _xlpm.v, 입출고대장!F:F, _xlpm.l, 입출고대장!B:B, "출고")))</f>
        <v>0</v>
      </c>
      <c r="G3" s="22" cm="1">
        <f t="array" ref="G3:G345">_xlfn.ANCHORARRAY(E3) -_xlfn.ANCHORARRAY( F3)</f>
        <v>3</v>
      </c>
      <c r="H3" s="21" t="str" cm="1">
        <f t="array" ref="H3:H345">IF(_xlfn.ANCHORARRAY(G3)&lt;=0, "재고없음", "정상")</f>
        <v>정상</v>
      </c>
      <c r="I3" s="23" t="str" cm="1">
        <f t="array" ref="I3">IF(B3="", "", _xlfn.TEXTJOIN(", ", TRUE, _xlfn.UNIQUE(_xlfn._xlws.FILTER(입출고대장!$I:$I, (입출고대장!$D:$D=B3)*(입출고대장!$E:$E=C3)*(입출고대장!$F:$F=D3)*(입출고대장!$I:$I&lt;&gt;""), ""))))</f>
        <v/>
      </c>
    </row>
    <row r="4" spans="1:19" ht="17.25" x14ac:dyDescent="0.3">
      <c r="A4" s="20" t="str">
        <v>미국</v>
      </c>
      <c r="B4" s="21" t="str">
        <v>로버트 몬다비,까베르네 소비뇽 리저브</v>
      </c>
      <c r="C4" s="21">
        <v>2010</v>
      </c>
      <c r="D4" s="21" t="str">
        <v>1번랙</v>
      </c>
      <c r="E4" s="22">
        <v>12</v>
      </c>
      <c r="F4" s="22">
        <v>9</v>
      </c>
      <c r="G4" s="22">
        <v>3</v>
      </c>
      <c r="H4" s="21" t="str">
        <v>정상</v>
      </c>
      <c r="I4" s="23" t="str" cm="1">
        <f t="array" ref="I4">IF(B4="", "", _xlfn.TEXTJOIN(", ", TRUE, _xlfn.UNIQUE(_xlfn._xlws.FILTER(입출고대장!$I:$I, (입출고대장!$D:$D=B4)*(입출고대장!$E:$E=C4)*(입출고대장!$F:$F=D4)*(입출고대장!$I:$I&lt;&gt;""), ""))))</f>
        <v/>
      </c>
    </row>
    <row r="5" spans="1:19" ht="17.25" x14ac:dyDescent="0.3">
      <c r="A5" s="20" t="str">
        <v>미국</v>
      </c>
      <c r="B5" s="21" t="str">
        <v>로버트 몬다비,까베르네 소비뇽 리저브</v>
      </c>
      <c r="C5" s="21">
        <v>2011</v>
      </c>
      <c r="D5" s="21" t="str">
        <v>1번랙</v>
      </c>
      <c r="E5" s="22">
        <v>3</v>
      </c>
      <c r="F5" s="22">
        <v>0</v>
      </c>
      <c r="G5" s="22">
        <v>3</v>
      </c>
      <c r="H5" s="21" t="str">
        <v>정상</v>
      </c>
      <c r="I5" s="23" t="str" cm="1">
        <f t="array" ref="I5">IF(B5="", "", _xlfn.TEXTJOIN(", ", TRUE, _xlfn.UNIQUE(_xlfn._xlws.FILTER(입출고대장!$I:$I, (입출고대장!$D:$D=B5)*(입출고대장!$E:$E=C5)*(입출고대장!$F:$F=D5)*(입출고대장!$I:$I&lt;&gt;""), ""))))</f>
        <v/>
      </c>
    </row>
    <row r="6" spans="1:19" ht="17.25" x14ac:dyDescent="0.3">
      <c r="A6" s="20" t="str">
        <v>미국</v>
      </c>
      <c r="B6" s="21" t="str">
        <v>로버트 몬다비,까베르네 소비뇽 리저브</v>
      </c>
      <c r="C6" s="21">
        <v>2012</v>
      </c>
      <c r="D6" s="21" t="str">
        <v>1번랙</v>
      </c>
      <c r="E6" s="22">
        <v>3</v>
      </c>
      <c r="F6" s="22">
        <v>0</v>
      </c>
      <c r="G6" s="22">
        <v>3</v>
      </c>
      <c r="H6" s="21" t="str">
        <v>정상</v>
      </c>
      <c r="I6" s="23" t="str" cm="1">
        <f t="array" ref="I6">IF(B6="", "", _xlfn.TEXTJOIN(", ", TRUE, _xlfn.UNIQUE(_xlfn._xlws.FILTER(입출고대장!$I:$I, (입출고대장!$D:$D=B6)*(입출고대장!$E:$E=C6)*(입출고대장!$F:$F=D6)*(입출고대장!$I:$I&lt;&gt;""), ""))))</f>
        <v/>
      </c>
    </row>
    <row r="7" spans="1:19" ht="17.25" x14ac:dyDescent="0.3">
      <c r="A7" s="20" t="str">
        <v>호주</v>
      </c>
      <c r="B7" s="21" t="str">
        <v>토브렉, 런릭</v>
      </c>
      <c r="C7" s="21">
        <v>2006</v>
      </c>
      <c r="D7" s="21" t="str">
        <v>1번랙</v>
      </c>
      <c r="E7" s="22">
        <v>1</v>
      </c>
      <c r="F7" s="22">
        <v>0</v>
      </c>
      <c r="G7" s="22">
        <v>1</v>
      </c>
      <c r="H7" s="21" t="str">
        <v>정상</v>
      </c>
      <c r="I7" s="23" t="str" cm="1">
        <f t="array" ref="I7">IF(B7="", "", _xlfn.TEXTJOIN(", ", TRUE, _xlfn.UNIQUE(_xlfn._xlws.FILTER(입출고대장!$I:$I, (입출고대장!$D:$D=B7)*(입출고대장!$E:$E=C7)*(입출고대장!$F:$F=D7)*(입출고대장!$I:$I&lt;&gt;""), ""))))</f>
        <v/>
      </c>
    </row>
    <row r="8" spans="1:19" ht="17.25" x14ac:dyDescent="0.3">
      <c r="A8" s="20" t="str">
        <v>호주</v>
      </c>
      <c r="B8" s="21" t="str">
        <v>토브렉, 런릭</v>
      </c>
      <c r="C8" s="21">
        <v>2007</v>
      </c>
      <c r="D8" s="21" t="str">
        <v>1번랙</v>
      </c>
      <c r="E8" s="22">
        <v>11</v>
      </c>
      <c r="F8" s="22">
        <v>0</v>
      </c>
      <c r="G8" s="22">
        <v>11</v>
      </c>
      <c r="H8" s="21" t="str">
        <v>정상</v>
      </c>
      <c r="I8" s="23" t="str" cm="1">
        <f t="array" ref="I8">IF(B8="", "", _xlfn.TEXTJOIN(", ", TRUE, _xlfn.UNIQUE(_xlfn._xlws.FILTER(입출고대장!$I:$I, (입출고대장!$D:$D=B8)*(입출고대장!$E:$E=C8)*(입출고대장!$F:$F=D8)*(입출고대장!$I:$I&lt;&gt;""), ""))))</f>
        <v/>
      </c>
    </row>
    <row r="9" spans="1:19" ht="17.25" x14ac:dyDescent="0.3">
      <c r="A9" s="20" t="str">
        <v>호주</v>
      </c>
      <c r="B9" s="21" t="str">
        <v>토브렉, 레어드 1500ml</v>
      </c>
      <c r="C9" s="21">
        <v>2005</v>
      </c>
      <c r="D9" s="21" t="str">
        <v>1번랙</v>
      </c>
      <c r="E9" s="22">
        <v>2</v>
      </c>
      <c r="F9" s="22">
        <v>0</v>
      </c>
      <c r="G9" s="22">
        <v>2</v>
      </c>
      <c r="H9" s="21" t="str">
        <v>정상</v>
      </c>
      <c r="I9" s="23" t="str" cm="1">
        <f t="array" ref="I9">IF(B9="", "", _xlfn.TEXTJOIN(", ", TRUE, _xlfn.UNIQUE(_xlfn._xlws.FILTER(입출고대장!$I:$I, (입출고대장!$D:$D=B9)*(입출고대장!$E:$E=C9)*(입출고대장!$F:$F=D9)*(입출고대장!$I:$I&lt;&gt;""), ""))))</f>
        <v>매그넘</v>
      </c>
    </row>
    <row r="10" spans="1:19" ht="17.25" x14ac:dyDescent="0.3">
      <c r="A10" s="20" t="str">
        <v>미국</v>
      </c>
      <c r="B10" s="21" t="str">
        <v>더 마스코트</v>
      </c>
      <c r="C10" s="21">
        <v>2020</v>
      </c>
      <c r="D10" s="21" t="str">
        <v>1번랙(천장)</v>
      </c>
      <c r="E10" s="22">
        <v>1</v>
      </c>
      <c r="F10" s="22">
        <v>0</v>
      </c>
      <c r="G10" s="22">
        <v>1</v>
      </c>
      <c r="H10" s="21" t="str">
        <v>정상</v>
      </c>
      <c r="I10" s="23" t="str" cm="1">
        <f t="array" ref="I10">IF(B10="", "", _xlfn.TEXTJOIN(", ", TRUE, _xlfn.UNIQUE(_xlfn._xlws.FILTER(입출고대장!$I:$I, (입출고대장!$D:$D=B10)*(입출고대장!$E:$E=C10)*(입출고대장!$F:$F=D10)*(입출고대장!$I:$I&lt;&gt;""), ""))))</f>
        <v/>
      </c>
    </row>
    <row r="11" spans="1:19" ht="17.25" x14ac:dyDescent="0.3">
      <c r="A11" s="20" t="str">
        <v>미국</v>
      </c>
      <c r="B11" s="21" t="str">
        <v>씨네퀴넌</v>
      </c>
      <c r="C11" s="21">
        <v>2013</v>
      </c>
      <c r="D11" s="21" t="str">
        <v>1번랙(천장)</v>
      </c>
      <c r="E11" s="22">
        <v>13</v>
      </c>
      <c r="F11" s="22">
        <v>0</v>
      </c>
      <c r="G11" s="22">
        <v>13</v>
      </c>
      <c r="H11" s="21" t="str">
        <v>정상</v>
      </c>
      <c r="I11" s="23" t="str" cm="1">
        <f t="array" ref="I11">IF(B11="", "", _xlfn.TEXTJOIN(", ", TRUE, _xlfn.UNIQUE(_xlfn._xlws.FILTER(입출고대장!$I:$I, (입출고대장!$D:$D=B11)*(입출고대장!$E:$E=C11)*(입출고대장!$F:$F=D11)*(입출고대장!$I:$I&lt;&gt;""), ""))))</f>
        <v/>
      </c>
    </row>
    <row r="12" spans="1:19" ht="17.25" x14ac:dyDescent="0.3">
      <c r="A12" s="20" t="str">
        <v>미국</v>
      </c>
      <c r="B12" s="21" t="str">
        <v>제이드 팰리스 골프클럽</v>
      </c>
      <c r="C12" s="21">
        <v>2022</v>
      </c>
      <c r="D12" s="21" t="str">
        <v>1번랙(천장)</v>
      </c>
      <c r="E12" s="22">
        <v>1</v>
      </c>
      <c r="F12" s="22">
        <v>0</v>
      </c>
      <c r="G12" s="22">
        <v>1</v>
      </c>
      <c r="H12" s="21" t="str">
        <v>정상</v>
      </c>
      <c r="I12" s="23" t="str" cm="1">
        <f t="array" ref="I12">IF(B12="", "", _xlfn.TEXTJOIN(", ", TRUE, _xlfn.UNIQUE(_xlfn._xlws.FILTER(입출고대장!$I:$I, (입출고대장!$D:$D=B12)*(입출고대장!$E:$E=C12)*(입출고대장!$F:$F=D12)*(입출고대장!$I:$I&lt;&gt;""), ""))))</f>
        <v/>
      </c>
    </row>
    <row r="13" spans="1:19" ht="17.25" x14ac:dyDescent="0.3">
      <c r="A13" s="20" t="str">
        <v>미국</v>
      </c>
      <c r="B13" s="21" t="str">
        <v>피터 마이클, 레 파보</v>
      </c>
      <c r="C13" s="21">
        <v>2019</v>
      </c>
      <c r="D13" s="21" t="str">
        <v>1번랙(천장)</v>
      </c>
      <c r="E13" s="22">
        <v>1</v>
      </c>
      <c r="F13" s="22">
        <v>0</v>
      </c>
      <c r="G13" s="22">
        <v>1</v>
      </c>
      <c r="H13" s="21" t="str">
        <v>정상</v>
      </c>
      <c r="I13" s="23" t="str" cm="1">
        <f t="array" ref="I13">IF(B13="", "", _xlfn.TEXTJOIN(", ", TRUE, _xlfn.UNIQUE(_xlfn._xlws.FILTER(입출고대장!$I:$I, (입출고대장!$D:$D=B13)*(입출고대장!$E:$E=C13)*(입출고대장!$F:$F=D13)*(입출고대장!$I:$I&lt;&gt;""), ""))))</f>
        <v/>
      </c>
    </row>
    <row r="14" spans="1:19" ht="17.25" x14ac:dyDescent="0.3">
      <c r="A14" s="20" t="str">
        <v>스페인</v>
      </c>
      <c r="B14" s="21" t="str">
        <v>펠릭스 카예호, 셀렉시온 데 비녜도스 데 라 파밀리아</v>
      </c>
      <c r="C14" s="21">
        <v>2004</v>
      </c>
      <c r="D14" s="21" t="str">
        <v>1번랙(천장)</v>
      </c>
      <c r="E14" s="22">
        <v>1</v>
      </c>
      <c r="F14" s="22">
        <v>0</v>
      </c>
      <c r="G14" s="22">
        <v>1</v>
      </c>
      <c r="H14" s="21" t="str">
        <v>정상</v>
      </c>
      <c r="I14" s="23" t="str" cm="1">
        <f t="array" ref="I14">IF(B14="", "", _xlfn.TEXTJOIN(", ", TRUE, _xlfn.UNIQUE(_xlfn._xlws.FILTER(입출고대장!$I:$I, (입출고대장!$D:$D=B14)*(입출고대장!$E:$E=C14)*(입출고대장!$F:$F=D14)*(입출고대장!$I:$I&lt;&gt;""), ""))))</f>
        <v/>
      </c>
    </row>
    <row r="15" spans="1:19" ht="17.25" x14ac:dyDescent="0.3">
      <c r="A15" s="20" t="str">
        <v>이탈리아</v>
      </c>
      <c r="B15" s="21" t="str">
        <v>가야, 다르마지</v>
      </c>
      <c r="C15" s="21">
        <v>2015</v>
      </c>
      <c r="D15" s="21" t="str">
        <v>1번랙(천장)</v>
      </c>
      <c r="E15" s="22">
        <v>1</v>
      </c>
      <c r="F15" s="22">
        <v>0</v>
      </c>
      <c r="G15" s="22">
        <v>1</v>
      </c>
      <c r="H15" s="21" t="str">
        <v>정상</v>
      </c>
      <c r="I15" s="23" t="str" cm="1">
        <f t="array" ref="I15">IF(B15="", "", _xlfn.TEXTJOIN(", ", TRUE, _xlfn.UNIQUE(_xlfn._xlws.FILTER(입출고대장!$I:$I, (입출고대장!$D:$D=B15)*(입출고대장!$E:$E=C15)*(입출고대장!$F:$F=D15)*(입출고대장!$I:$I&lt;&gt;""), ""))))</f>
        <v/>
      </c>
    </row>
    <row r="16" spans="1:19" ht="17.25" x14ac:dyDescent="0.3">
      <c r="A16" s="20" t="str">
        <v>이탈리아</v>
      </c>
      <c r="B16" s="21" t="str">
        <v>사시까이아</v>
      </c>
      <c r="C16" s="21">
        <v>2006</v>
      </c>
      <c r="D16" s="21" t="str">
        <v>1번랙(천장)</v>
      </c>
      <c r="E16" s="22">
        <v>8</v>
      </c>
      <c r="F16" s="22">
        <v>0</v>
      </c>
      <c r="G16" s="22">
        <v>8</v>
      </c>
      <c r="H16" s="21" t="str">
        <v>정상</v>
      </c>
      <c r="I16" s="23" t="str" cm="1">
        <f t="array" ref="I16">IF(B16="", "", _xlfn.TEXTJOIN(", ", TRUE, _xlfn.UNIQUE(_xlfn._xlws.FILTER(입출고대장!$I:$I, (입출고대장!$D:$D=B16)*(입출고대장!$E:$E=C16)*(입출고대장!$F:$F=D16)*(입출고대장!$I:$I&lt;&gt;""), ""))))</f>
        <v/>
      </c>
    </row>
    <row r="17" spans="1:9" ht="17.25" x14ac:dyDescent="0.3">
      <c r="A17" s="20" t="str">
        <v>이탈리아</v>
      </c>
      <c r="B17" s="21" t="str">
        <v>사시까이아</v>
      </c>
      <c r="C17" s="21">
        <v>2007</v>
      </c>
      <c r="D17" s="21" t="str">
        <v>1번랙(천장)</v>
      </c>
      <c r="E17" s="22">
        <v>3</v>
      </c>
      <c r="F17" s="22">
        <v>0</v>
      </c>
      <c r="G17" s="22">
        <v>3</v>
      </c>
      <c r="H17" s="21" t="str">
        <v>정상</v>
      </c>
      <c r="I17" s="23" t="str" cm="1">
        <f t="array" ref="I17">IF(B17="", "", _xlfn.TEXTJOIN(", ", TRUE, _xlfn.UNIQUE(_xlfn._xlws.FILTER(입출고대장!$I:$I, (입출고대장!$D:$D=B17)*(입출고대장!$E:$E=C17)*(입출고대장!$F:$F=D17)*(입출고대장!$I:$I&lt;&gt;""), ""))))</f>
        <v/>
      </c>
    </row>
    <row r="18" spans="1:9" ht="17.25" x14ac:dyDescent="0.3">
      <c r="A18" s="20" t="str">
        <v>이탈리아</v>
      </c>
      <c r="B18" s="21" t="str">
        <v>사시까이아</v>
      </c>
      <c r="C18" s="21">
        <v>2015</v>
      </c>
      <c r="D18" s="21" t="str">
        <v>1번랙(천장)</v>
      </c>
      <c r="E18" s="22">
        <v>12</v>
      </c>
      <c r="F18" s="22">
        <v>0</v>
      </c>
      <c r="G18" s="22">
        <v>12</v>
      </c>
      <c r="H18" s="21" t="str">
        <v>정상</v>
      </c>
      <c r="I18" s="23" t="str" cm="1">
        <f t="array" ref="I18">IF(B18="", "", _xlfn.TEXTJOIN(", ", TRUE, _xlfn.UNIQUE(_xlfn._xlws.FILTER(입출고대장!$I:$I, (입출고대장!$D:$D=B18)*(입출고대장!$E:$E=C18)*(입출고대장!$F:$F=D18)*(입출고대장!$I:$I&lt;&gt;""), ""))))</f>
        <v/>
      </c>
    </row>
    <row r="19" spans="1:9" ht="17.25" x14ac:dyDescent="0.3">
      <c r="A19" s="20" t="str">
        <v>이탈리아</v>
      </c>
      <c r="B19" s="21" t="str">
        <v>주세페 퀸타렐리, 아마로네 델라 발폴리첼라 클라시코</v>
      </c>
      <c r="C19" s="21">
        <v>1998</v>
      </c>
      <c r="D19" s="21" t="str">
        <v>1번랙(천장)</v>
      </c>
      <c r="E19" s="22">
        <v>1</v>
      </c>
      <c r="F19" s="22">
        <v>0</v>
      </c>
      <c r="G19" s="22">
        <v>1</v>
      </c>
      <c r="H19" s="21" t="str">
        <v>정상</v>
      </c>
      <c r="I19" s="23" t="str" cm="1">
        <f t="array" ref="I19">IF(B19="", "", _xlfn.TEXTJOIN(", ", TRUE, _xlfn.UNIQUE(_xlfn._xlws.FILTER(입출고대장!$I:$I, (입출고대장!$D:$D=B19)*(입출고대장!$E:$E=C19)*(입출고대장!$F:$F=D19)*(입출고대장!$I:$I&lt;&gt;""), ""))))</f>
        <v/>
      </c>
    </row>
    <row r="20" spans="1:9" ht="17.25" x14ac:dyDescent="0.3">
      <c r="A20" s="20" t="str">
        <v>프랑스</v>
      </c>
      <c r="B20" s="21" t="str">
        <v>도멘 퐁소, 끌로 드 라 로슈 그랑 크뤼 뀌베 비에이유 비뉴</v>
      </c>
      <c r="C20" s="21">
        <v>2005</v>
      </c>
      <c r="D20" s="21" t="str">
        <v>1번랙(천장)</v>
      </c>
      <c r="E20" s="22">
        <v>1</v>
      </c>
      <c r="F20" s="22">
        <v>0</v>
      </c>
      <c r="G20" s="22">
        <v>1</v>
      </c>
      <c r="H20" s="21" t="str">
        <v>정상</v>
      </c>
      <c r="I20" s="23" t="str" cm="1">
        <f t="array" ref="I20">IF(B20="", "", _xlfn.TEXTJOIN(", ", TRUE, _xlfn.UNIQUE(_xlfn._xlws.FILTER(입출고대장!$I:$I, (입출고대장!$D:$D=B20)*(입출고대장!$E:$E=C20)*(입출고대장!$F:$F=D20)*(입출고대장!$I:$I&lt;&gt;""), ""))))</f>
        <v/>
      </c>
    </row>
    <row r="21" spans="1:9" ht="17.25" x14ac:dyDescent="0.3">
      <c r="A21" s="20" t="str">
        <v>프랑스</v>
      </c>
      <c r="B21" s="21" t="str">
        <v>샤또 무똥 로칠드</v>
      </c>
      <c r="C21" s="21">
        <v>2003</v>
      </c>
      <c r="D21" s="21" t="str">
        <v>1번랙(천장)</v>
      </c>
      <c r="E21" s="22">
        <v>1</v>
      </c>
      <c r="F21" s="22">
        <v>0</v>
      </c>
      <c r="G21" s="22">
        <v>1</v>
      </c>
      <c r="H21" s="21" t="str">
        <v>정상</v>
      </c>
      <c r="I21" s="23" t="str" cm="1">
        <f t="array" ref="I21">IF(B21="", "", _xlfn.TEXTJOIN(", ", TRUE, _xlfn.UNIQUE(_xlfn._xlws.FILTER(입출고대장!$I:$I, (입출고대장!$D:$D=B21)*(입출고대장!$E:$E=C21)*(입출고대장!$F:$F=D21)*(입출고대장!$I:$I&lt;&gt;""), ""))))</f>
        <v>샤또 무똥 무칠드</v>
      </c>
    </row>
    <row r="22" spans="1:9" ht="17.25" x14ac:dyDescent="0.3">
      <c r="A22" s="20" t="str">
        <v>프랑스</v>
      </c>
      <c r="B22" s="21" t="str">
        <v>샤또 무똥 로칠드</v>
      </c>
      <c r="C22" s="21">
        <v>2005</v>
      </c>
      <c r="D22" s="21" t="str">
        <v>1번랙(천장)</v>
      </c>
      <c r="E22" s="22">
        <v>5</v>
      </c>
      <c r="F22" s="22">
        <v>0</v>
      </c>
      <c r="G22" s="22">
        <v>5</v>
      </c>
      <c r="H22" s="21" t="str">
        <v>정상</v>
      </c>
      <c r="I22" s="23" t="str" cm="1">
        <f t="array" ref="I22">IF(B22="", "", _xlfn.TEXTJOIN(", ", TRUE, _xlfn.UNIQUE(_xlfn._xlws.FILTER(입출고대장!$I:$I, (입출고대장!$D:$D=B22)*(입출고대장!$E:$E=C22)*(입출고대장!$F:$F=D22)*(입출고대장!$I:$I&lt;&gt;""), ""))))</f>
        <v>샤또 무똥 무칠드</v>
      </c>
    </row>
    <row r="23" spans="1:9" ht="17.25" x14ac:dyDescent="0.3">
      <c r="A23" s="20" t="str">
        <v>프랑스</v>
      </c>
      <c r="B23" s="21" t="str">
        <v>알베르 비쇼, 샹볼 뮈지니</v>
      </c>
      <c r="C23" s="21">
        <v>2019</v>
      </c>
      <c r="D23" s="21" t="str">
        <v>1번랙(천장)</v>
      </c>
      <c r="E23" s="22">
        <v>1</v>
      </c>
      <c r="F23" s="22">
        <v>0</v>
      </c>
      <c r="G23" s="22">
        <v>1</v>
      </c>
      <c r="H23" s="21" t="str">
        <v>정상</v>
      </c>
      <c r="I23" s="23" t="str" cm="1">
        <f t="array" ref="I23">IF(B23="", "", _xlfn.TEXTJOIN(", ", TRUE, _xlfn.UNIQUE(_xlfn._xlws.FILTER(입출고대장!$I:$I, (입출고대장!$D:$D=B23)*(입출고대장!$E:$E=C23)*(입출고대장!$F:$F=D23)*(입출고대장!$I:$I&lt;&gt;""), ""))))</f>
        <v/>
      </c>
    </row>
    <row r="24" spans="1:9" ht="17.25" x14ac:dyDescent="0.3">
      <c r="A24" s="20" t="str">
        <v>프랑스</v>
      </c>
      <c r="B24" s="21" t="str">
        <v>조셉 페블레, 샹볼 뮈지니</v>
      </c>
      <c r="C24" s="21">
        <v>2021</v>
      </c>
      <c r="D24" s="21" t="str">
        <v>1번랙(천장)</v>
      </c>
      <c r="E24" s="22">
        <v>1</v>
      </c>
      <c r="F24" s="22">
        <v>0</v>
      </c>
      <c r="G24" s="22">
        <v>1</v>
      </c>
      <c r="H24" s="21" t="str">
        <v>정상</v>
      </c>
      <c r="I24" s="23" t="str" cm="1">
        <f t="array" ref="I24">IF(B24="", "", _xlfn.TEXTJOIN(", ", TRUE, _xlfn.UNIQUE(_xlfn._xlws.FILTER(입출고대장!$I:$I, (입출고대장!$D:$D=B24)*(입출고대장!$E:$E=C24)*(입출고대장!$F:$F=D24)*(입출고대장!$I:$I&lt;&gt;""), ""))))</f>
        <v/>
      </c>
    </row>
    <row r="25" spans="1:9" ht="17.25" x14ac:dyDescent="0.3">
      <c r="A25" s="20" t="str">
        <v>프랑스</v>
      </c>
      <c r="B25" s="21" t="str">
        <v>페리에 주에 1500ml</v>
      </c>
      <c r="C25" s="21">
        <v>1996</v>
      </c>
      <c r="D25" s="21" t="str">
        <v>1번랙(천장)</v>
      </c>
      <c r="E25" s="22">
        <v>6</v>
      </c>
      <c r="F25" s="22">
        <v>0</v>
      </c>
      <c r="G25" s="22">
        <v>6</v>
      </c>
      <c r="H25" s="21" t="str">
        <v>정상</v>
      </c>
      <c r="I25" s="23" t="str" cm="1">
        <f t="array" ref="I25">IF(B25="", "", _xlfn.TEXTJOIN(", ", TRUE, _xlfn.UNIQUE(_xlfn._xlws.FILTER(입출고대장!$I:$I, (입출고대장!$D:$D=B25)*(입출고대장!$E:$E=C25)*(입출고대장!$F:$F=D25)*(입출고대장!$I:$I&lt;&gt;""), ""))))</f>
        <v>샴페인 매그넘</v>
      </c>
    </row>
    <row r="26" spans="1:9" ht="17.25" x14ac:dyDescent="0.3">
      <c r="A26" s="20" t="str">
        <v>미국</v>
      </c>
      <c r="B26" s="21" t="str">
        <v>로버트 몬다비,까베르네 소비뇽 리저브(50주년 에디션)</v>
      </c>
      <c r="C26" s="21">
        <v>2013</v>
      </c>
      <c r="D26" s="21" t="str">
        <v>2번랙</v>
      </c>
      <c r="E26" s="22">
        <v>3</v>
      </c>
      <c r="F26" s="22">
        <v>0</v>
      </c>
      <c r="G26" s="22">
        <v>3</v>
      </c>
      <c r="H26" s="21" t="str">
        <v>정상</v>
      </c>
      <c r="I26" s="23" t="str" cm="1">
        <f t="array" ref="I26">IF(B26="", "", _xlfn.TEXTJOIN(", ", TRUE, _xlfn.UNIQUE(_xlfn._xlws.FILTER(입출고대장!$I:$I, (입출고대장!$D:$D=B26)*(입출고대장!$E:$E=C26)*(입출고대장!$F:$F=D26)*(입출고대장!$I:$I&lt;&gt;""), ""))))</f>
        <v>50주년 에디션</v>
      </c>
    </row>
    <row r="27" spans="1:9" ht="17.25" x14ac:dyDescent="0.3">
      <c r="A27" s="20" t="str">
        <v>미국</v>
      </c>
      <c r="B27" s="21" t="str">
        <v>로버트 몬다비,까베르네 소비뇽 버티칼 세트</v>
      </c>
      <c r="C27" s="21" t="str">
        <v>NV</v>
      </c>
      <c r="D27" s="21" t="str">
        <v>2번랙</v>
      </c>
      <c r="E27" s="22">
        <v>3</v>
      </c>
      <c r="F27" s="22">
        <v>0</v>
      </c>
      <c r="G27" s="22">
        <v>3</v>
      </c>
      <c r="H27" s="21" t="str">
        <v>정상</v>
      </c>
      <c r="I27" s="23" t="str" cm="1">
        <f t="array" ref="I27">IF(B27="", "", _xlfn.TEXTJOIN(", ", TRUE, _xlfn.UNIQUE(_xlfn._xlws.FILTER(입출고대장!$I:$I, (입출고대장!$D:$D=B27)*(입출고대장!$E:$E=C27)*(입출고대장!$F:$F=D27)*(입출고대장!$I:$I&lt;&gt;""), ""))))</f>
        <v>세트상품</v>
      </c>
    </row>
    <row r="28" spans="1:9" ht="17.25" x14ac:dyDescent="0.3">
      <c r="A28" s="20" t="str">
        <v>프랑스</v>
      </c>
      <c r="B28" s="21" t="str">
        <v>페블레, 꼬르똥 샤를마뉴 그랑 크뤼</v>
      </c>
      <c r="C28" s="21">
        <v>2010</v>
      </c>
      <c r="D28" s="21" t="str">
        <v>2번랙</v>
      </c>
      <c r="E28" s="22">
        <v>12</v>
      </c>
      <c r="F28" s="22">
        <v>0</v>
      </c>
      <c r="G28" s="22">
        <v>12</v>
      </c>
      <c r="H28" s="21" t="str">
        <v>정상</v>
      </c>
      <c r="I28" s="23" t="str" cm="1">
        <f t="array" ref="I28">IF(B28="", "", _xlfn.TEXTJOIN(", ", TRUE, _xlfn.UNIQUE(_xlfn._xlws.FILTER(입출고대장!$I:$I, (입출고대장!$D:$D=B28)*(입출고대장!$E:$E=C28)*(입출고대장!$F:$F=D28)*(입출고대장!$I:$I&lt;&gt;""), ""))))</f>
        <v/>
      </c>
    </row>
    <row r="29" spans="1:9" ht="17.25" x14ac:dyDescent="0.3">
      <c r="A29" s="20" t="str">
        <v>프랑스</v>
      </c>
      <c r="B29" s="21" t="str">
        <v>페블레, 샹베르땡 끌로 드 베즈 우브레 로딘 그랑크뤼</v>
      </c>
      <c r="C29" s="21">
        <v>2018</v>
      </c>
      <c r="D29" s="21" t="str">
        <v>3번랙</v>
      </c>
      <c r="E29" s="22">
        <v>4</v>
      </c>
      <c r="F29" s="22">
        <v>0</v>
      </c>
      <c r="G29" s="22">
        <v>4</v>
      </c>
      <c r="H29" s="21" t="str">
        <v>정상</v>
      </c>
      <c r="I29" s="23" t="str" cm="1">
        <f t="array" ref="I29">IF(B29="", "", _xlfn.TEXTJOIN(", ", TRUE, _xlfn.UNIQUE(_xlfn._xlws.FILTER(입출고대장!$I:$I, (입출고대장!$D:$D=B29)*(입출고대장!$E:$E=C29)*(입출고대장!$F:$F=D29)*(입출고대장!$I:$I&lt;&gt;""), ""))))</f>
        <v/>
      </c>
    </row>
    <row r="30" spans="1:9" ht="17.25" x14ac:dyDescent="0.3">
      <c r="A30" s="20" t="str">
        <v>프랑스</v>
      </c>
      <c r="B30" s="21" t="str">
        <v>페블레, 샹베르땡 끌로 드 베즈 우브레 로딘 그랑크뤼</v>
      </c>
      <c r="C30" s="21">
        <v>2019</v>
      </c>
      <c r="D30" s="21" t="str">
        <v>3번랙</v>
      </c>
      <c r="E30" s="22">
        <v>6</v>
      </c>
      <c r="F30" s="22">
        <v>0</v>
      </c>
      <c r="G30" s="22">
        <v>6</v>
      </c>
      <c r="H30" s="21" t="str">
        <v>정상</v>
      </c>
      <c r="I30" s="23" t="str" cm="1">
        <f t="array" ref="I30">IF(B30="", "", _xlfn.TEXTJOIN(", ", TRUE, _xlfn.UNIQUE(_xlfn._xlws.FILTER(입출고대장!$I:$I, (입출고대장!$D:$D=B30)*(입출고대장!$E:$E=C30)*(입출고대장!$F:$F=D30)*(입출고대장!$I:$I&lt;&gt;""), ""))))</f>
        <v/>
      </c>
    </row>
    <row r="31" spans="1:9" ht="17.25" x14ac:dyDescent="0.3">
      <c r="A31" s="20" t="str">
        <v>프랑스</v>
      </c>
      <c r="B31" s="21" t="str">
        <v>페블레, 샹베르땡 끌로 드 베즈 우브레 로딘 그랑크뤼</v>
      </c>
      <c r="C31" s="21">
        <v>2020</v>
      </c>
      <c r="D31" s="21" t="str">
        <v>3번랙</v>
      </c>
      <c r="E31" s="22">
        <v>2</v>
      </c>
      <c r="F31" s="22">
        <v>0</v>
      </c>
      <c r="G31" s="22">
        <v>2</v>
      </c>
      <c r="H31" s="21" t="str">
        <v>정상</v>
      </c>
      <c r="I31" s="23" t="str" cm="1">
        <f t="array" ref="I31">IF(B31="", "", _xlfn.TEXTJOIN(", ", TRUE, _xlfn.UNIQUE(_xlfn._xlws.FILTER(입출고대장!$I:$I, (입출고대장!$D:$D=B31)*(입출고대장!$E:$E=C31)*(입출고대장!$F:$F=D31)*(입출고대장!$I:$I&lt;&gt;""), ""))))</f>
        <v/>
      </c>
    </row>
    <row r="32" spans="1:9" ht="17.25" x14ac:dyDescent="0.3">
      <c r="A32" s="20" t="str">
        <v>프랑스</v>
      </c>
      <c r="B32" s="21" t="str">
        <v>페블레,바타르 몽라쉐 그랑 크뤼</v>
      </c>
      <c r="C32" s="21">
        <v>2010</v>
      </c>
      <c r="D32" s="21" t="str">
        <v>3번랙</v>
      </c>
      <c r="E32" s="22">
        <v>3</v>
      </c>
      <c r="F32" s="22">
        <v>0</v>
      </c>
      <c r="G32" s="22">
        <v>3</v>
      </c>
      <c r="H32" s="21" t="str">
        <v>정상</v>
      </c>
      <c r="I32" s="23" t="str" cm="1">
        <f t="array" ref="I32">IF(B32="", "", _xlfn.TEXTJOIN(", ", TRUE, _xlfn.UNIQUE(_xlfn._xlws.FILTER(입출고대장!$I:$I, (입출고대장!$D:$D=B32)*(입출고대장!$E:$E=C32)*(입출고대장!$F:$F=D32)*(입출고대장!$I:$I&lt;&gt;""), ""))))</f>
        <v/>
      </c>
    </row>
    <row r="33" spans="1:9" ht="17.25" x14ac:dyDescent="0.3">
      <c r="A33" s="20" t="str">
        <v>프랑스</v>
      </c>
      <c r="B33" s="21" t="str">
        <v>페블레,바타르 몽라쉐 그랑 크뤼</v>
      </c>
      <c r="C33" s="21">
        <v>2021</v>
      </c>
      <c r="D33" s="21" t="str">
        <v>3번랙</v>
      </c>
      <c r="E33" s="22">
        <v>3</v>
      </c>
      <c r="F33" s="22">
        <v>0</v>
      </c>
      <c r="G33" s="22">
        <v>3</v>
      </c>
      <c r="H33" s="21" t="str">
        <v>정상</v>
      </c>
      <c r="I33" s="23" t="str" cm="1">
        <f t="array" ref="I33">IF(B33="", "", _xlfn.TEXTJOIN(", ", TRUE, _xlfn.UNIQUE(_xlfn._xlws.FILTER(입출고대장!$I:$I, (입출고대장!$D:$D=B33)*(입출고대장!$E:$E=C33)*(입출고대장!$F:$F=D33)*(입출고대장!$I:$I&lt;&gt;""), ""))))</f>
        <v/>
      </c>
    </row>
    <row r="34" spans="1:9" ht="17.25" x14ac:dyDescent="0.3">
      <c r="A34" s="20" t="str">
        <v>프랑스</v>
      </c>
      <c r="B34" s="21" t="str">
        <v>페블레,비엥브뉘 바타르 몽라쉐 그랑 크뤼</v>
      </c>
      <c r="C34" s="21">
        <v>2011</v>
      </c>
      <c r="D34" s="21" t="str">
        <v>3번랙</v>
      </c>
      <c r="E34" s="22">
        <v>6</v>
      </c>
      <c r="F34" s="22">
        <v>0</v>
      </c>
      <c r="G34" s="22">
        <v>6</v>
      </c>
      <c r="H34" s="21" t="str">
        <v>정상</v>
      </c>
      <c r="I34" s="23" t="str" cm="1">
        <f t="array" ref="I34">IF(B34="", "", _xlfn.TEXTJOIN(", ", TRUE, _xlfn.UNIQUE(_xlfn._xlws.FILTER(입출고대장!$I:$I, (입출고대장!$D:$D=B34)*(입출고대장!$E:$E=C34)*(입출고대장!$F:$F=D34)*(입출고대장!$I:$I&lt;&gt;""), ""))))</f>
        <v>검정 나무 케이스 6병</v>
      </c>
    </row>
    <row r="35" spans="1:9" ht="17.25" x14ac:dyDescent="0.3">
      <c r="A35" s="20" t="str">
        <v>이탈리아</v>
      </c>
      <c r="B35" s="21" t="str">
        <v>루체 브루넬로 디 몬탈치노 1500ml</v>
      </c>
      <c r="C35" s="21">
        <v>2009</v>
      </c>
      <c r="D35" s="21" t="str">
        <v>4번랙</v>
      </c>
      <c r="E35" s="22">
        <v>4</v>
      </c>
      <c r="F35" s="22">
        <v>0</v>
      </c>
      <c r="G35" s="22">
        <v>4</v>
      </c>
      <c r="H35" s="21" t="str">
        <v>정상</v>
      </c>
      <c r="I35" s="23" t="str" cm="1">
        <f t="array" ref="I35">IF(B35="", "", _xlfn.TEXTJOIN(", ", TRUE, _xlfn.UNIQUE(_xlfn._xlws.FILTER(입출고대장!$I:$I, (입출고대장!$D:$D=B35)*(입출고대장!$E:$E=C35)*(입출고대장!$F:$F=D35)*(입출고대장!$I:$I&lt;&gt;""), ""))))</f>
        <v>매그넘</v>
      </c>
    </row>
    <row r="36" spans="1:9" ht="17.25" x14ac:dyDescent="0.3">
      <c r="A36" s="20" t="str">
        <v>이탈리아</v>
      </c>
      <c r="B36" s="21" t="str">
        <v>루체 브루넬로 디 몬탈치노 1500ml</v>
      </c>
      <c r="C36" s="21">
        <v>2012</v>
      </c>
      <c r="D36" s="21" t="str">
        <v>4번랙</v>
      </c>
      <c r="E36" s="22">
        <v>4</v>
      </c>
      <c r="F36" s="22">
        <v>0</v>
      </c>
      <c r="G36" s="22">
        <v>4</v>
      </c>
      <c r="H36" s="21" t="str">
        <v>정상</v>
      </c>
      <c r="I36" s="23" t="str" cm="1">
        <f t="array" ref="I36">IF(B36="", "", _xlfn.TEXTJOIN(", ", TRUE, _xlfn.UNIQUE(_xlfn._xlws.FILTER(입출고대장!$I:$I, (입출고대장!$D:$D=B36)*(입출고대장!$E:$E=C36)*(입출고대장!$F:$F=D36)*(입출고대장!$I:$I&lt;&gt;""), ""))))</f>
        <v>매그넘</v>
      </c>
    </row>
    <row r="37" spans="1:9" ht="17.25" x14ac:dyDescent="0.3">
      <c r="A37" s="20" t="str">
        <v>이탈리아</v>
      </c>
      <c r="B37" s="21" t="str">
        <v>루체 브루넬로 디 몬탈치노 3000ml</v>
      </c>
      <c r="C37" s="21">
        <v>2012</v>
      </c>
      <c r="D37" s="21" t="str">
        <v>4번랙</v>
      </c>
      <c r="E37" s="22">
        <v>2</v>
      </c>
      <c r="F37" s="22">
        <v>0</v>
      </c>
      <c r="G37" s="22">
        <v>2</v>
      </c>
      <c r="H37" s="21" t="str">
        <v>정상</v>
      </c>
      <c r="I37" s="23" t="str" cm="1">
        <f t="array" ref="I37">IF(B37="", "", _xlfn.TEXTJOIN(", ", TRUE, _xlfn.UNIQUE(_xlfn._xlws.FILTER(입출고대장!$I:$I, (입출고대장!$D:$D=B37)*(입출고대장!$E:$E=C37)*(입출고대장!$F:$F=D37)*(입출고대장!$I:$I&lt;&gt;""), ""))))</f>
        <v>더블매그넘</v>
      </c>
    </row>
    <row r="38" spans="1:9" ht="17.25" x14ac:dyDescent="0.3">
      <c r="A38" s="20" t="str">
        <v>이탈리아</v>
      </c>
      <c r="B38" s="21" t="str">
        <v>프레스코발디,카스텔지오콘도 리제르바 1500ml</v>
      </c>
      <c r="C38" s="21">
        <v>2008</v>
      </c>
      <c r="D38" s="21" t="str">
        <v>4번랙</v>
      </c>
      <c r="E38" s="22">
        <v>3</v>
      </c>
      <c r="F38" s="22">
        <v>0</v>
      </c>
      <c r="G38" s="22">
        <v>3</v>
      </c>
      <c r="H38" s="21" t="str">
        <v>정상</v>
      </c>
      <c r="I38" s="23" t="str" cm="1">
        <f t="array" ref="I38">IF(B38="", "", _xlfn.TEXTJOIN(", ", TRUE, _xlfn.UNIQUE(_xlfn._xlws.FILTER(입출고대장!$I:$I, (입출고대장!$D:$D=B38)*(입출고대장!$E:$E=C38)*(입출고대장!$F:$F=D38)*(입출고대장!$I:$I&lt;&gt;""), ""))))</f>
        <v>매그넘</v>
      </c>
    </row>
    <row r="39" spans="1:9" ht="17.25" x14ac:dyDescent="0.3">
      <c r="A39" s="20" t="str">
        <v>이탈리아</v>
      </c>
      <c r="B39" s="21" t="str">
        <v>프레스코발디,카스텔지오콘도 리제르바 1500ml</v>
      </c>
      <c r="C39" s="21">
        <v>2010</v>
      </c>
      <c r="D39" s="21" t="str">
        <v>4번랙</v>
      </c>
      <c r="E39" s="22">
        <v>7</v>
      </c>
      <c r="F39" s="22">
        <v>0</v>
      </c>
      <c r="G39" s="22">
        <v>7</v>
      </c>
      <c r="H39" s="21" t="str">
        <v>정상</v>
      </c>
      <c r="I39" s="23" t="str" cm="1">
        <f t="array" ref="I39">IF(B39="", "", _xlfn.TEXTJOIN(", ", TRUE, _xlfn.UNIQUE(_xlfn._xlws.FILTER(입출고대장!$I:$I, (입출고대장!$D:$D=B39)*(입출고대장!$E:$E=C39)*(입출고대장!$F:$F=D39)*(입출고대장!$I:$I&lt;&gt;""), ""))))</f>
        <v>매그넘</v>
      </c>
    </row>
    <row r="40" spans="1:9" ht="17.25" x14ac:dyDescent="0.3">
      <c r="A40" s="20" t="str">
        <v>이탈리아</v>
      </c>
      <c r="B40" s="21" t="str">
        <v>프레스코발디,카스텔지오콘도 리제르바 3000ml</v>
      </c>
      <c r="C40" s="21">
        <v>2010</v>
      </c>
      <c r="D40" s="21" t="str">
        <v>4번랙</v>
      </c>
      <c r="E40" s="22">
        <v>2</v>
      </c>
      <c r="F40" s="22">
        <v>0</v>
      </c>
      <c r="G40" s="22">
        <v>2</v>
      </c>
      <c r="H40" s="21" t="str">
        <v>정상</v>
      </c>
      <c r="I40" s="23" t="str" cm="1">
        <f t="array" ref="I40">IF(B40="", "", _xlfn.TEXTJOIN(", ", TRUE, _xlfn.UNIQUE(_xlfn._xlws.FILTER(입출고대장!$I:$I, (입출고대장!$D:$D=B40)*(입출고대장!$E:$E=C40)*(입출고대장!$F:$F=D40)*(입출고대장!$I:$I&lt;&gt;""), ""))))</f>
        <v>더블매그넘</v>
      </c>
    </row>
    <row r="41" spans="1:9" ht="17.25" x14ac:dyDescent="0.3">
      <c r="A41" s="20" t="str">
        <v>미국</v>
      </c>
      <c r="B41" s="21" t="str">
        <v>Grgich Hills Yountville Old Vine C/S</v>
      </c>
      <c r="C41" s="21">
        <v>2019</v>
      </c>
      <c r="D41" s="21" t="str">
        <v>5번랙</v>
      </c>
      <c r="E41" s="22">
        <v>2</v>
      </c>
      <c r="F41" s="22">
        <v>0</v>
      </c>
      <c r="G41" s="22">
        <v>2</v>
      </c>
      <c r="H41" s="21" t="str">
        <v>정상</v>
      </c>
      <c r="I41" s="23" t="str" cm="1">
        <f t="array" ref="I41">IF(B41="", "", _xlfn.TEXTJOIN(", ", TRUE, _xlfn.UNIQUE(_xlfn._xlws.FILTER(입출고대장!$I:$I, (입출고대장!$D:$D=B41)*(입출고대장!$E:$E=C41)*(입출고대장!$F:$F=D41)*(입출고대장!$I:$I&lt;&gt;""), ""))))</f>
        <v/>
      </c>
    </row>
    <row r="42" spans="1:9" ht="17.25" x14ac:dyDescent="0.3">
      <c r="A42" s="20" t="str">
        <v>미국</v>
      </c>
      <c r="B42" s="21" t="str">
        <v>로버트 몬다비 리저브</v>
      </c>
      <c r="C42" s="21">
        <v>2007</v>
      </c>
      <c r="D42" s="21" t="str">
        <v>5번랙</v>
      </c>
      <c r="E42" s="22">
        <v>1</v>
      </c>
      <c r="F42" s="22">
        <v>0</v>
      </c>
      <c r="G42" s="22">
        <v>1</v>
      </c>
      <c r="H42" s="21" t="str">
        <v>정상</v>
      </c>
      <c r="I42" s="23" t="str" cm="1">
        <f t="array" ref="I42">IF(B42="", "", _xlfn.TEXTJOIN(", ", TRUE, _xlfn.UNIQUE(_xlfn._xlws.FILTER(입출고대장!$I:$I, (입출고대장!$D:$D=B42)*(입출고대장!$E:$E=C42)*(입출고대장!$F:$F=D42)*(입출고대장!$I:$I&lt;&gt;""), ""))))</f>
        <v>선물용</v>
      </c>
    </row>
    <row r="43" spans="1:9" ht="17.25" x14ac:dyDescent="0.3">
      <c r="A43" s="20" t="str">
        <v>미국</v>
      </c>
      <c r="B43" s="21" t="str">
        <v>오퍼스원</v>
      </c>
      <c r="C43" s="21">
        <v>2010</v>
      </c>
      <c r="D43" s="21" t="str">
        <v>5번랙</v>
      </c>
      <c r="E43" s="22">
        <v>0</v>
      </c>
      <c r="F43" s="22">
        <v>0</v>
      </c>
      <c r="G43" s="22">
        <v>0</v>
      </c>
      <c r="H43" s="21" t="str">
        <v>재고없음</v>
      </c>
      <c r="I43" s="23" t="str" cm="1">
        <f t="array" ref="I43">IF(B43="", "", _xlfn.TEXTJOIN(", ", TRUE, _xlfn.UNIQUE(_xlfn._xlws.FILTER(입출고대장!$I:$I, (입출고대장!$D:$D=B43)*(입출고대장!$E:$E=C43)*(입출고대장!$F:$F=D43)*(입출고대장!$I:$I&lt;&gt;""), ""))))</f>
        <v>선물용</v>
      </c>
    </row>
    <row r="44" spans="1:9" ht="17.25" x14ac:dyDescent="0.3">
      <c r="A44" s="20" t="str">
        <v>이탈리아</v>
      </c>
      <c r="B44" s="21" t="str">
        <v>Masseto (T)</v>
      </c>
      <c r="C44" s="21">
        <v>2014</v>
      </c>
      <c r="D44" s="21" t="str">
        <v>5번랙</v>
      </c>
      <c r="E44" s="22">
        <v>1</v>
      </c>
      <c r="F44" s="22">
        <v>0</v>
      </c>
      <c r="G44" s="22">
        <v>1</v>
      </c>
      <c r="H44" s="21" t="str">
        <v>정상</v>
      </c>
      <c r="I44" s="23" t="str" cm="1">
        <f t="array" ref="I44">IF(B44="", "", _xlfn.TEXTJOIN(", ", TRUE, _xlfn.UNIQUE(_xlfn._xlws.FILTER(입출고대장!$I:$I, (입출고대장!$D:$D=B44)*(입출고대장!$E:$E=C44)*(입출고대장!$F:$F=D44)*(입출고대장!$I:$I&lt;&gt;""), ""))))</f>
        <v/>
      </c>
    </row>
    <row r="45" spans="1:9" ht="17.25" x14ac:dyDescent="0.3">
      <c r="A45" s="20" t="str">
        <v>이탈리아</v>
      </c>
      <c r="B45" s="21" t="str">
        <v>루체</v>
      </c>
      <c r="C45" s="21">
        <v>2011</v>
      </c>
      <c r="D45" s="21" t="str">
        <v>5번랙</v>
      </c>
      <c r="E45" s="22">
        <v>1</v>
      </c>
      <c r="F45" s="22">
        <v>0</v>
      </c>
      <c r="G45" s="22">
        <v>1</v>
      </c>
      <c r="H45" s="21" t="str">
        <v>정상</v>
      </c>
      <c r="I45" s="23" t="str" cm="1">
        <f t="array" ref="I45">IF(B45="", "", _xlfn.TEXTJOIN(", ", TRUE, _xlfn.UNIQUE(_xlfn._xlws.FILTER(입출고대장!$I:$I, (입출고대장!$D:$D=B45)*(입출고대장!$E:$E=C45)*(입출고대장!$F:$F=D45)*(입출고대장!$I:$I&lt;&gt;""), ""))))</f>
        <v>선물용</v>
      </c>
    </row>
    <row r="46" spans="1:9" ht="17.25" x14ac:dyDescent="0.3">
      <c r="A46" s="20" t="str">
        <v>칠레</v>
      </c>
      <c r="B46" s="21" t="str">
        <v>비네도 차드윅</v>
      </c>
      <c r="C46" s="21" t="str">
        <v>NV</v>
      </c>
      <c r="D46" s="21" t="str">
        <v>5번랙</v>
      </c>
      <c r="E46" s="22">
        <v>1</v>
      </c>
      <c r="F46" s="22">
        <v>0</v>
      </c>
      <c r="G46" s="22">
        <v>1</v>
      </c>
      <c r="H46" s="21" t="str">
        <v>정상</v>
      </c>
      <c r="I46" s="23" t="str" cm="1">
        <f t="array" ref="I46">IF(B46="", "", _xlfn.TEXTJOIN(", ", TRUE, _xlfn.UNIQUE(_xlfn._xlws.FILTER(입출고대장!$I:$I, (입출고대장!$D:$D=B46)*(입출고대장!$E:$E=C46)*(입출고대장!$F:$F=D46)*(입출고대장!$I:$I&lt;&gt;""), ""))))</f>
        <v>선물용</v>
      </c>
    </row>
    <row r="47" spans="1:9" ht="17.25" x14ac:dyDescent="0.3">
      <c r="A47" s="20" t="str">
        <v>프랑스</v>
      </c>
      <c r="B47" s="21" t="str">
        <v>(OT)Domaine Coche-Dury Puligny Montrachet Les Enseigneres</v>
      </c>
      <c r="C47" s="21">
        <v>2018</v>
      </c>
      <c r="D47" s="21" t="str">
        <v>5번랙</v>
      </c>
      <c r="E47" s="22">
        <v>1</v>
      </c>
      <c r="F47" s="22">
        <v>0</v>
      </c>
      <c r="G47" s="22">
        <v>1</v>
      </c>
      <c r="H47" s="21" t="str">
        <v>정상</v>
      </c>
      <c r="I47" s="23" t="str" cm="1">
        <f t="array" ref="I47">IF(B47="", "", _xlfn.TEXTJOIN(", ", TRUE, _xlfn.UNIQUE(_xlfn._xlws.FILTER(입출고대장!$I:$I, (입출고대장!$D:$D=B47)*(입출고대장!$E:$E=C47)*(입출고대장!$F:$F=D47)*(입출고대장!$I:$I&lt;&gt;""), ""))))</f>
        <v/>
      </c>
    </row>
    <row r="48" spans="1:9" ht="17.25" x14ac:dyDescent="0.3">
      <c r="A48" s="20" t="str">
        <v>프랑스</v>
      </c>
      <c r="B48" s="21" t="str">
        <v>(OT)Henri Boillot Chevalier Montrachet Grand Cru Blanc</v>
      </c>
      <c r="C48" s="21">
        <v>2018</v>
      </c>
      <c r="D48" s="21" t="str">
        <v>5번랙</v>
      </c>
      <c r="E48" s="22">
        <v>1</v>
      </c>
      <c r="F48" s="22">
        <v>0</v>
      </c>
      <c r="G48" s="22">
        <v>1</v>
      </c>
      <c r="H48" s="21" t="str">
        <v>정상</v>
      </c>
      <c r="I48" s="23" t="str" cm="1">
        <f t="array" ref="I48">IF(B48="", "", _xlfn.TEXTJOIN(", ", TRUE, _xlfn.UNIQUE(_xlfn._xlws.FILTER(입출고대장!$I:$I, (입출고대장!$D:$D=B48)*(입출고대장!$E:$E=C48)*(입출고대장!$F:$F=D48)*(입출고대장!$I:$I&lt;&gt;""), ""))))</f>
        <v/>
      </c>
    </row>
    <row r="49" spans="1:9" ht="17.25" x14ac:dyDescent="0.3">
      <c r="A49" s="20" t="str">
        <v>프랑스</v>
      </c>
      <c r="B49" s="21" t="str">
        <v>Ch. Les Carmes Haut Brion</v>
      </c>
      <c r="C49" s="21">
        <v>2022</v>
      </c>
      <c r="D49" s="21" t="str">
        <v>5번랙</v>
      </c>
      <c r="E49" s="22">
        <v>5</v>
      </c>
      <c r="F49" s="22">
        <v>0</v>
      </c>
      <c r="G49" s="22">
        <v>5</v>
      </c>
      <c r="H49" s="21" t="str">
        <v>정상</v>
      </c>
      <c r="I49" s="23" t="str" cm="1">
        <f t="array" ref="I49">IF(B49="", "", _xlfn.TEXTJOIN(", ", TRUE, _xlfn.UNIQUE(_xlfn._xlws.FILTER(입출고대장!$I:$I, (입출고대장!$D:$D=B49)*(입출고대장!$E:$E=C49)*(입출고대장!$F:$F=D49)*(입출고대장!$I:$I&lt;&gt;""), ""))))</f>
        <v/>
      </c>
    </row>
    <row r="50" spans="1:9" ht="17.25" x14ac:dyDescent="0.3">
      <c r="A50" s="20" t="str">
        <v>프랑스</v>
      </c>
      <c r="B50" s="21" t="str">
        <v>Phillip Pacalet Chambolle Musigny 1er Cru "Les Sentiers"</v>
      </c>
      <c r="C50" s="21">
        <v>2021</v>
      </c>
      <c r="D50" s="21" t="str">
        <v>5번랙</v>
      </c>
      <c r="E50" s="22">
        <v>1</v>
      </c>
      <c r="F50" s="22">
        <v>0</v>
      </c>
      <c r="G50" s="22">
        <v>1</v>
      </c>
      <c r="H50" s="21" t="str">
        <v>정상</v>
      </c>
      <c r="I50" s="23" t="str" cm="1">
        <f t="array" ref="I50">IF(B50="", "", _xlfn.TEXTJOIN(", ", TRUE, _xlfn.UNIQUE(_xlfn._xlws.FILTER(입출고대장!$I:$I, (입출고대장!$D:$D=B50)*(입출고대장!$E:$E=C50)*(입출고대장!$F:$F=D50)*(입출고대장!$I:$I&lt;&gt;""), ""))))</f>
        <v/>
      </c>
    </row>
    <row r="51" spans="1:9" ht="17.25" x14ac:dyDescent="0.3">
      <c r="A51" s="20" t="str">
        <v>프랑스</v>
      </c>
      <c r="B51" s="21" t="str">
        <v>샤또 린치 바쥐</v>
      </c>
      <c r="C51" s="21">
        <v>2005</v>
      </c>
      <c r="D51" s="21" t="str">
        <v>5번랙</v>
      </c>
      <c r="E51" s="22">
        <v>1</v>
      </c>
      <c r="F51" s="22">
        <v>0</v>
      </c>
      <c r="G51" s="22">
        <v>1</v>
      </c>
      <c r="H51" s="21" t="str">
        <v>정상</v>
      </c>
      <c r="I51" s="23" t="str" cm="1">
        <f t="array" ref="I51">IF(B51="", "", _xlfn.TEXTJOIN(", ", TRUE, _xlfn.UNIQUE(_xlfn._xlws.FILTER(입출고대장!$I:$I, (입출고대장!$D:$D=B51)*(입출고대장!$E:$E=C51)*(입출고대장!$F:$F=D51)*(입출고대장!$I:$I&lt;&gt;""), ""))))</f>
        <v>선물용</v>
      </c>
    </row>
    <row r="52" spans="1:9" ht="17.25" x14ac:dyDescent="0.3">
      <c r="A52" s="20" t="str">
        <v>프랑스</v>
      </c>
      <c r="B52" s="21" t="str">
        <v>아르망드 브리냑 로제 750ml</v>
      </c>
      <c r="C52" s="21" t="str">
        <v>NV</v>
      </c>
      <c r="D52" s="21" t="str">
        <v>5번랙</v>
      </c>
      <c r="E52" s="22">
        <v>6</v>
      </c>
      <c r="F52" s="22">
        <v>0</v>
      </c>
      <c r="G52" s="22">
        <v>6</v>
      </c>
      <c r="H52" s="21" t="str">
        <v>정상</v>
      </c>
      <c r="I52" s="23" t="str" cm="1">
        <f t="array" ref="I52">IF(B52="", "", _xlfn.TEXTJOIN(", ", TRUE, _xlfn.UNIQUE(_xlfn._xlws.FILTER(입출고대장!$I:$I, (입출고대장!$D:$D=B52)*(입출고대장!$E:$E=C52)*(입출고대장!$F:$F=D52)*(입출고대장!$I:$I&lt;&gt;""), ""))))</f>
        <v>샴페인</v>
      </c>
    </row>
    <row r="53" spans="1:9" ht="17.25" x14ac:dyDescent="0.3">
      <c r="A53" s="20" t="str">
        <v>프랑스</v>
      </c>
      <c r="B53" s="21" t="str">
        <v>크룩 KRUG 샴페인</v>
      </c>
      <c r="C53" s="21" t="str">
        <v>NV</v>
      </c>
      <c r="D53" s="21" t="str">
        <v>5번랙</v>
      </c>
      <c r="E53" s="22">
        <v>6</v>
      </c>
      <c r="F53" s="22">
        <v>0</v>
      </c>
      <c r="G53" s="22">
        <v>6</v>
      </c>
      <c r="H53" s="21" t="str">
        <v>정상</v>
      </c>
      <c r="I53" s="23" t="str" cm="1">
        <f t="array" ref="I53">IF(B53="", "", _xlfn.TEXTJOIN(", ", TRUE, _xlfn.UNIQUE(_xlfn._xlws.FILTER(입출고대장!$I:$I, (입출고대장!$D:$D=B53)*(입출고대장!$E:$E=C53)*(입출고대장!$F:$F=D53)*(입출고대장!$I:$I&lt;&gt;""), ""))))</f>
        <v>샴페인</v>
      </c>
    </row>
    <row r="54" spans="1:9" ht="17.25" x14ac:dyDescent="0.3">
      <c r="A54" s="20" t="str">
        <v>프랑스</v>
      </c>
      <c r="B54" s="21" t="str">
        <v>헨리옷 HENRIOT 샴페인</v>
      </c>
      <c r="C54" s="21">
        <v>1996</v>
      </c>
      <c r="D54" s="21" t="str">
        <v>5번랙</v>
      </c>
      <c r="E54" s="22">
        <v>4</v>
      </c>
      <c r="F54" s="22">
        <v>0</v>
      </c>
      <c r="G54" s="22">
        <v>4</v>
      </c>
      <c r="H54" s="21" t="str">
        <v>정상</v>
      </c>
      <c r="I54" s="23" t="str" cm="1">
        <f t="array" ref="I54">IF(B54="", "", _xlfn.TEXTJOIN(", ", TRUE, _xlfn.UNIQUE(_xlfn._xlws.FILTER(입출고대장!$I:$I, (입출고대장!$D:$D=B54)*(입출고대장!$E:$E=C54)*(입출고대장!$F:$F=D54)*(입출고대장!$I:$I&lt;&gt;""), ""))))</f>
        <v>샴페인</v>
      </c>
    </row>
    <row r="55" spans="1:9" ht="17.25" x14ac:dyDescent="0.3">
      <c r="A55" s="20" t="str">
        <v>호주</v>
      </c>
      <c r="B55" s="21" t="str">
        <v>우드커터스 쉬라즈</v>
      </c>
      <c r="C55" s="21" t="str">
        <v>NV</v>
      </c>
      <c r="D55" s="21" t="str">
        <v>5번랙</v>
      </c>
      <c r="E55" s="22">
        <v>1</v>
      </c>
      <c r="F55" s="22">
        <v>0</v>
      </c>
      <c r="G55" s="22">
        <v>1</v>
      </c>
      <c r="H55" s="21" t="str">
        <v>정상</v>
      </c>
      <c r="I55" s="23" t="str" cm="1">
        <f t="array" ref="I55">IF(B55="", "", _xlfn.TEXTJOIN(", ", TRUE, _xlfn.UNIQUE(_xlfn._xlws.FILTER(입출고대장!$I:$I, (입출고대장!$D:$D=B55)*(입출고대장!$E:$E=C55)*(입출고대장!$F:$F=D55)*(입출고대장!$I:$I&lt;&gt;""), ""))))</f>
        <v>선물용</v>
      </c>
    </row>
    <row r="56" spans="1:9" ht="17.25" x14ac:dyDescent="0.3">
      <c r="A56" s="20" t="str">
        <v>프랑스</v>
      </c>
      <c r="B56" s="21" t="str">
        <v>꼬띠 로띠 라 뚜르크</v>
      </c>
      <c r="C56" s="21">
        <v>2007</v>
      </c>
      <c r="D56" s="21" t="str">
        <v>6번랙</v>
      </c>
      <c r="E56" s="22">
        <v>1</v>
      </c>
      <c r="F56" s="22">
        <v>0</v>
      </c>
      <c r="G56" s="22">
        <v>1</v>
      </c>
      <c r="H56" s="21" t="str">
        <v>정상</v>
      </c>
      <c r="I56" s="23" t="str" cm="1">
        <f t="array" ref="I56">IF(B56="", "", _xlfn.TEXTJOIN(", ", TRUE, _xlfn.UNIQUE(_xlfn._xlws.FILTER(입출고대장!$I:$I, (입출고대장!$D:$D=B56)*(입출고대장!$E:$E=C56)*(입출고대장!$F:$F=D56)*(입출고대장!$I:$I&lt;&gt;""), ""))))</f>
        <v>Cote Rotie La Turque</v>
      </c>
    </row>
    <row r="57" spans="1:9" ht="17.25" x14ac:dyDescent="0.3">
      <c r="A57" s="20" t="str">
        <v>프랑스</v>
      </c>
      <c r="B57" s="21" t="str">
        <v>꼬띠 로띠 라 뚜르크</v>
      </c>
      <c r="C57" s="21">
        <v>2009</v>
      </c>
      <c r="D57" s="21" t="str">
        <v>6번랙</v>
      </c>
      <c r="E57" s="22">
        <v>4</v>
      </c>
      <c r="F57" s="22">
        <v>0</v>
      </c>
      <c r="G57" s="22">
        <v>4</v>
      </c>
      <c r="H57" s="21" t="str">
        <v>정상</v>
      </c>
      <c r="I57" s="23" t="str" cm="1">
        <f t="array" ref="I57">IF(B57="", "", _xlfn.TEXTJOIN(", ", TRUE, _xlfn.UNIQUE(_xlfn._xlws.FILTER(입출고대장!$I:$I, (입출고대장!$D:$D=B57)*(입출고대장!$E:$E=C57)*(입출고대장!$F:$F=D57)*(입출고대장!$I:$I&lt;&gt;""), ""))))</f>
        <v>Cote Rotie La Turque</v>
      </c>
    </row>
    <row r="58" spans="1:9" ht="17.25" x14ac:dyDescent="0.3">
      <c r="A58" s="20" t="str">
        <v>프랑스</v>
      </c>
      <c r="B58" s="21" t="str">
        <v>꼬띠 로띠 라 랑돈</v>
      </c>
      <c r="C58" s="21">
        <v>2007</v>
      </c>
      <c r="D58" s="21" t="str">
        <v>6번랙</v>
      </c>
      <c r="E58" s="22">
        <v>1</v>
      </c>
      <c r="F58" s="22">
        <v>0</v>
      </c>
      <c r="G58" s="22">
        <v>1</v>
      </c>
      <c r="H58" s="21" t="str">
        <v>정상</v>
      </c>
      <c r="I58" s="23" t="str" cm="1">
        <f t="array" ref="I58">IF(B58="", "", _xlfn.TEXTJOIN(", ", TRUE, _xlfn.UNIQUE(_xlfn._xlws.FILTER(입출고대장!$I:$I, (입출고대장!$D:$D=B58)*(입출고대장!$E:$E=C58)*(입출고대장!$F:$F=D58)*(입출고대장!$I:$I&lt;&gt;""), ""))))</f>
        <v>Cote Rotie La Landonne</v>
      </c>
    </row>
    <row r="59" spans="1:9" ht="17.25" x14ac:dyDescent="0.3">
      <c r="A59" s="20" t="str">
        <v>프랑스</v>
      </c>
      <c r="B59" s="21" t="str">
        <v>꼬띠 로띠 라 랑돈</v>
      </c>
      <c r="C59" s="21">
        <v>2009</v>
      </c>
      <c r="D59" s="21" t="str">
        <v>6번랙</v>
      </c>
      <c r="E59" s="22">
        <v>4</v>
      </c>
      <c r="F59" s="22">
        <v>0</v>
      </c>
      <c r="G59" s="22">
        <v>4</v>
      </c>
      <c r="H59" s="21" t="str">
        <v>정상</v>
      </c>
      <c r="I59" s="23" t="str" cm="1">
        <f t="array" ref="I59">IF(B59="", "", _xlfn.TEXTJOIN(", ", TRUE, _xlfn.UNIQUE(_xlfn._xlws.FILTER(입출고대장!$I:$I, (입출고대장!$D:$D=B59)*(입출고대장!$E:$E=C59)*(입출고대장!$F:$F=D59)*(입출고대장!$I:$I&lt;&gt;""), ""))))</f>
        <v>Cote Rotie La Landonne</v>
      </c>
    </row>
    <row r="60" spans="1:9" ht="17.25" x14ac:dyDescent="0.3">
      <c r="A60" s="20" t="str">
        <v>프랑스</v>
      </c>
      <c r="B60" s="21" t="str">
        <v>꼬띠 로띠 라 물린</v>
      </c>
      <c r="C60" s="21">
        <v>2007</v>
      </c>
      <c r="D60" s="21" t="str">
        <v>6번랙</v>
      </c>
      <c r="E60" s="22">
        <v>1</v>
      </c>
      <c r="F60" s="22">
        <v>0</v>
      </c>
      <c r="G60" s="22">
        <v>1</v>
      </c>
      <c r="H60" s="21" t="str">
        <v>정상</v>
      </c>
      <c r="I60" s="23" t="str" cm="1">
        <f t="array" ref="I60">IF(B60="", "", _xlfn.TEXTJOIN(", ", TRUE, _xlfn.UNIQUE(_xlfn._xlws.FILTER(입출고대장!$I:$I, (입출고대장!$D:$D=B60)*(입출고대장!$E:$E=C60)*(입출고대장!$F:$F=D60)*(입출고대장!$I:$I&lt;&gt;""), ""))))</f>
        <v>Cote Rotie La Mouline</v>
      </c>
    </row>
    <row r="61" spans="1:9" ht="17.25" x14ac:dyDescent="0.3">
      <c r="A61" s="20" t="str">
        <v>프랑스</v>
      </c>
      <c r="B61" s="21" t="str">
        <v>꼬띠 로띠 라 물린</v>
      </c>
      <c r="C61" s="21">
        <v>2009</v>
      </c>
      <c r="D61" s="21" t="str">
        <v>6번랙</v>
      </c>
      <c r="E61" s="22">
        <v>4</v>
      </c>
      <c r="F61" s="22">
        <v>0</v>
      </c>
      <c r="G61" s="22">
        <v>4</v>
      </c>
      <c r="H61" s="21" t="str">
        <v>정상</v>
      </c>
      <c r="I61" s="23" t="str" cm="1">
        <f t="array" ref="I61">IF(B61="", "", _xlfn.TEXTJOIN(", ", TRUE, _xlfn.UNIQUE(_xlfn._xlws.FILTER(입출고대장!$I:$I, (입출고대장!$D:$D=B61)*(입출고대장!$E:$E=C61)*(입출고대장!$F:$F=D61)*(입출고대장!$I:$I&lt;&gt;""), ""))))</f>
        <v>Cote Rotie La Mouline</v>
      </c>
    </row>
    <row r="62" spans="1:9" ht="17.25" x14ac:dyDescent="0.3">
      <c r="A62" s="20" t="str">
        <v>프랑스</v>
      </c>
      <c r="B62" s="21" t="str">
        <v>자쿠스 셀로스 750ml 샴페인</v>
      </c>
      <c r="C62" s="21" t="str">
        <v>NV</v>
      </c>
      <c r="D62" s="21" t="str">
        <v>6번랙</v>
      </c>
      <c r="E62" s="22">
        <v>12</v>
      </c>
      <c r="F62" s="22">
        <v>0</v>
      </c>
      <c r="G62" s="22">
        <v>12</v>
      </c>
      <c r="H62" s="21" t="str">
        <v>정상</v>
      </c>
      <c r="I62" s="23" t="str" cm="1">
        <f t="array" ref="I62">IF(B62="", "", _xlfn.TEXTJOIN(", ", TRUE, _xlfn.UNIQUE(_xlfn._xlws.FILTER(입출고대장!$I:$I, (입출고대장!$D:$D=B62)*(입출고대장!$E:$E=C62)*(입출고대장!$F:$F=D62)*(입출고대장!$I:$I&lt;&gt;""), ""))))</f>
        <v>샴페인</v>
      </c>
    </row>
    <row r="63" spans="1:9" ht="17.25" x14ac:dyDescent="0.3">
      <c r="A63" s="20" t="str">
        <v>프랑스</v>
      </c>
      <c r="B63" s="21" t="str">
        <v>파빌리온 루즈 샤또 마고</v>
      </c>
      <c r="C63" s="21">
        <v>2008</v>
      </c>
      <c r="D63" s="21" t="str">
        <v>6번랙</v>
      </c>
      <c r="E63" s="22">
        <v>12</v>
      </c>
      <c r="F63" s="22">
        <v>0</v>
      </c>
      <c r="G63" s="22">
        <v>12</v>
      </c>
      <c r="H63" s="21" t="str">
        <v>정상</v>
      </c>
      <c r="I63" s="23" t="str" cm="1">
        <f t="array" ref="I63">IF(B63="", "", _xlfn.TEXTJOIN(", ", TRUE, _xlfn.UNIQUE(_xlfn._xlws.FILTER(입출고대장!$I:$I, (입출고대장!$D:$D=B63)*(입출고대장!$E:$E=C63)*(입출고대장!$F:$F=D63)*(입출고대장!$I:$I&lt;&gt;""), ""))))</f>
        <v>Pavillon Rouge</v>
      </c>
    </row>
    <row r="64" spans="1:9" ht="17.25" x14ac:dyDescent="0.3">
      <c r="A64" s="20" t="str">
        <v>프랑스</v>
      </c>
      <c r="B64" s="21" t="str">
        <v>볼랭저, 007 그랑아네 009 1500ml</v>
      </c>
      <c r="C64" s="21">
        <v>2009</v>
      </c>
      <c r="D64" s="21" t="str">
        <v>7번랙</v>
      </c>
      <c r="E64" s="22">
        <v>6</v>
      </c>
      <c r="F64" s="22">
        <v>0</v>
      </c>
      <c r="G64" s="22">
        <v>6</v>
      </c>
      <c r="H64" s="21" t="str">
        <v>정상</v>
      </c>
      <c r="I64" s="23" t="str" cm="1">
        <f t="array" ref="I64">IF(B64="", "", _xlfn.TEXTJOIN(", ", TRUE, _xlfn.UNIQUE(_xlfn._xlws.FILTER(입출고대장!$I:$I, (입출고대장!$D:$D=B64)*(입출고대장!$E:$E=C64)*(입출고대장!$F:$F=D64)*(입출고대장!$I:$I&lt;&gt;""), ""))))</f>
        <v>매그넘</v>
      </c>
    </row>
    <row r="65" spans="1:9" ht="17.25" x14ac:dyDescent="0.3">
      <c r="A65" s="20" t="str">
        <v>프랑스</v>
      </c>
      <c r="B65" s="21" t="str">
        <v>볼랭저, 피엔 18 AYC 1500ml</v>
      </c>
      <c r="C65" s="21" t="str">
        <v>NV</v>
      </c>
      <c r="D65" s="21" t="str">
        <v>7번랙</v>
      </c>
      <c r="E65" s="22">
        <v>6</v>
      </c>
      <c r="F65" s="22">
        <v>0</v>
      </c>
      <c r="G65" s="22">
        <v>6</v>
      </c>
      <c r="H65" s="21" t="str">
        <v>정상</v>
      </c>
      <c r="I65" s="23" t="str" cm="1">
        <f t="array" ref="I65">IF(B65="", "", _xlfn.TEXTJOIN(", ", TRUE, _xlfn.UNIQUE(_xlfn._xlws.FILTER(입출고대장!$I:$I, (입출고대장!$D:$D=B65)*(입출고대장!$E:$E=C65)*(입출고대장!$F:$F=D65)*(입출고대장!$I:$I&lt;&gt;""), ""))))</f>
        <v>매그넘</v>
      </c>
    </row>
    <row r="66" spans="1:9" ht="17.25" x14ac:dyDescent="0.3">
      <c r="A66" s="20" t="str">
        <v>프랑스</v>
      </c>
      <c r="B66" s="21" t="str">
        <v>페블레, 꼬르똥 끌로 데 꼬르똥 그랑 크뤼</v>
      </c>
      <c r="C66" s="21">
        <v>2010</v>
      </c>
      <c r="D66" s="21" t="str">
        <v>7번랙</v>
      </c>
      <c r="E66" s="22">
        <v>12</v>
      </c>
      <c r="F66" s="22">
        <v>0</v>
      </c>
      <c r="G66" s="22">
        <v>12</v>
      </c>
      <c r="H66" s="21" t="str">
        <v>정상</v>
      </c>
      <c r="I66" s="23" t="str" cm="1">
        <f t="array" ref="I66">IF(B66="", "", _xlfn.TEXTJOIN(", ", TRUE, _xlfn.UNIQUE(_xlfn._xlws.FILTER(입출고대장!$I:$I, (입출고대장!$D:$D=B66)*(입출고대장!$E:$E=C66)*(입출고대장!$F:$F=D66)*(입출고대장!$I:$I&lt;&gt;""), ""))))</f>
        <v>Faiveley</v>
      </c>
    </row>
    <row r="67" spans="1:9" ht="17.25" x14ac:dyDescent="0.3">
      <c r="A67" s="20" t="str">
        <v>프랑스</v>
      </c>
      <c r="B67" s="21" t="str">
        <v>샤또 꼬스 데 뚜르넬</v>
      </c>
      <c r="C67" s="21">
        <v>2006</v>
      </c>
      <c r="D67" s="21" t="str">
        <v>8번랙</v>
      </c>
      <c r="E67" s="22">
        <v>12</v>
      </c>
      <c r="F67" s="22">
        <v>0</v>
      </c>
      <c r="G67" s="22">
        <v>12</v>
      </c>
      <c r="H67" s="21" t="str">
        <v>정상</v>
      </c>
      <c r="I67" s="23" t="str" cm="1">
        <f t="array" ref="I67">IF(B67="", "", _xlfn.TEXTJOIN(", ", TRUE, _xlfn.UNIQUE(_xlfn._xlws.FILTER(입출고대장!$I:$I, (입출고대장!$D:$D=B67)*(입출고대장!$E:$E=C67)*(입출고대장!$F:$F=D67)*(입출고대장!$I:$I&lt;&gt;""), ""))))</f>
        <v>Ch.Cos d'estournel</v>
      </c>
    </row>
    <row r="68" spans="1:9" ht="17.25" x14ac:dyDescent="0.3">
      <c r="A68" s="20" t="str">
        <v>프랑스</v>
      </c>
      <c r="B68" s="21" t="str">
        <v>샤또 오-브리옹</v>
      </c>
      <c r="C68" s="21">
        <v>1994</v>
      </c>
      <c r="D68" s="21" t="str">
        <v>8번랙</v>
      </c>
      <c r="E68" s="22">
        <v>18</v>
      </c>
      <c r="F68" s="22">
        <v>0</v>
      </c>
      <c r="G68" s="22">
        <v>18</v>
      </c>
      <c r="H68" s="21" t="str">
        <v>정상</v>
      </c>
      <c r="I68" s="23" t="str" cm="1">
        <f t="array" ref="I68">IF(B68="", "", _xlfn.TEXTJOIN(", ", TRUE, _xlfn.UNIQUE(_xlfn._xlws.FILTER(입출고대장!$I:$I, (입출고대장!$D:$D=B68)*(입출고대장!$E:$E=C68)*(입출고대장!$F:$F=D68)*(입출고대장!$I:$I&lt;&gt;""), ""))))</f>
        <v>Ch.Haut-Brion</v>
      </c>
    </row>
    <row r="69" spans="1:9" ht="17.25" x14ac:dyDescent="0.3">
      <c r="A69" s="20" t="str">
        <v>프랑스</v>
      </c>
      <c r="B69" s="21" t="str">
        <v>샤또 피지악</v>
      </c>
      <c r="C69" s="21">
        <v>2005</v>
      </c>
      <c r="D69" s="21" t="str">
        <v>8번랙</v>
      </c>
      <c r="E69" s="22">
        <v>18</v>
      </c>
      <c r="F69" s="22">
        <v>0</v>
      </c>
      <c r="G69" s="22">
        <v>18</v>
      </c>
      <c r="H69" s="21" t="str">
        <v>정상</v>
      </c>
      <c r="I69" s="23" t="str" cm="1">
        <f t="array" ref="I69">IF(B69="", "", _xlfn.TEXTJOIN(", ", TRUE, _xlfn.UNIQUE(_xlfn._xlws.FILTER(입출고대장!$I:$I, (입출고대장!$D:$D=B69)*(입출고대장!$E:$E=C69)*(입출고대장!$F:$F=D69)*(입출고대장!$I:$I&lt;&gt;""), ""))))</f>
        <v>Ch.Figeac</v>
      </c>
    </row>
    <row r="70" spans="1:9" ht="17.25" x14ac:dyDescent="0.3">
      <c r="A70" s="20" t="str">
        <v>프랑스</v>
      </c>
      <c r="B70" s="21" t="str">
        <v>샤또 피지악</v>
      </c>
      <c r="C70" s="21">
        <v>2006</v>
      </c>
      <c r="D70" s="21" t="str">
        <v>8번랙</v>
      </c>
      <c r="E70" s="22">
        <v>6</v>
      </c>
      <c r="F70" s="22">
        <v>0</v>
      </c>
      <c r="G70" s="22">
        <v>6</v>
      </c>
      <c r="H70" s="21" t="str">
        <v>정상</v>
      </c>
      <c r="I70" s="23" t="str" cm="1">
        <f t="array" ref="I70">IF(B70="", "", _xlfn.TEXTJOIN(", ", TRUE, _xlfn.UNIQUE(_xlfn._xlws.FILTER(입출고대장!$I:$I, (입출고대장!$D:$D=B70)*(입출고대장!$E:$E=C70)*(입출고대장!$F:$F=D70)*(입출고대장!$I:$I&lt;&gt;""), ""))))</f>
        <v>Ch.Figeac</v>
      </c>
    </row>
    <row r="71" spans="1:9" ht="17.25" x14ac:dyDescent="0.3">
      <c r="A71" s="20" t="str">
        <v>미국</v>
      </c>
      <c r="B71" s="21" t="str">
        <v>씨네퀴넌</v>
      </c>
      <c r="C71" s="21">
        <v>2011</v>
      </c>
      <c r="D71" s="21" t="str">
        <v>9번랙</v>
      </c>
      <c r="E71" s="22">
        <v>22</v>
      </c>
      <c r="F71" s="22">
        <v>0</v>
      </c>
      <c r="G71" s="22">
        <v>22</v>
      </c>
      <c r="H71" s="21" t="str">
        <v>정상</v>
      </c>
      <c r="I71" s="23" t="str" cm="1">
        <f t="array" ref="I71">IF(B71="", "", _xlfn.TEXTJOIN(", ", TRUE, _xlfn.UNIQUE(_xlfn._xlws.FILTER(입출고대장!$I:$I, (입출고대장!$D:$D=B71)*(입출고대장!$E:$E=C71)*(입출고대장!$F:$F=D71)*(입출고대장!$I:$I&lt;&gt;""), ""))))</f>
        <v>Sine Qua Non</v>
      </c>
    </row>
    <row r="72" spans="1:9" ht="17.25" x14ac:dyDescent="0.3">
      <c r="A72" s="20" t="str">
        <v>프랑스</v>
      </c>
      <c r="B72" s="21" t="str">
        <v>샤또 마고</v>
      </c>
      <c r="C72" s="21">
        <v>2005</v>
      </c>
      <c r="D72" s="21" t="str">
        <v>9번랙</v>
      </c>
      <c r="E72" s="22">
        <v>5</v>
      </c>
      <c r="F72" s="22">
        <v>0</v>
      </c>
      <c r="G72" s="22">
        <v>5</v>
      </c>
      <c r="H72" s="21" t="str">
        <v>정상</v>
      </c>
      <c r="I72" s="23" t="str" cm="1">
        <f t="array" ref="I72">IF(B72="", "", _xlfn.TEXTJOIN(", ", TRUE, _xlfn.UNIQUE(_xlfn._xlws.FILTER(입출고대장!$I:$I, (입출고대장!$D:$D=B72)*(입출고대장!$E:$E=C72)*(입출고대장!$F:$F=D72)*(입출고대장!$I:$I&lt;&gt;""), ""))))</f>
        <v>Ch.Margaux</v>
      </c>
    </row>
    <row r="73" spans="1:9" ht="17.25" x14ac:dyDescent="0.3">
      <c r="A73" s="20" t="str">
        <v>미국</v>
      </c>
      <c r="B73" s="21" t="str">
        <v>도미누스</v>
      </c>
      <c r="C73" s="21">
        <v>2009</v>
      </c>
      <c r="D73" s="21" t="str">
        <v>10번랙</v>
      </c>
      <c r="E73" s="22">
        <v>2</v>
      </c>
      <c r="F73" s="22">
        <v>0</v>
      </c>
      <c r="G73" s="22">
        <v>2</v>
      </c>
      <c r="H73" s="21" t="str">
        <v>정상</v>
      </c>
      <c r="I73" s="23" t="str" cm="1">
        <f t="array" ref="I73">IF(B73="", "", _xlfn.TEXTJOIN(", ", TRUE, _xlfn.UNIQUE(_xlfn._xlws.FILTER(입출고대장!$I:$I, (입출고대장!$D:$D=B73)*(입출고대장!$E:$E=C73)*(입출고대장!$F:$F=D73)*(입출고대장!$I:$I&lt;&gt;""), ""))))</f>
        <v>Dominus</v>
      </c>
    </row>
    <row r="74" spans="1:9" ht="17.25" x14ac:dyDescent="0.3">
      <c r="A74" s="20" t="str">
        <v>미국</v>
      </c>
      <c r="B74" s="21" t="str">
        <v>도미누스</v>
      </c>
      <c r="C74" s="21">
        <v>2010</v>
      </c>
      <c r="D74" s="21" t="str">
        <v>10번랙</v>
      </c>
      <c r="E74" s="22">
        <v>4</v>
      </c>
      <c r="F74" s="22">
        <v>0</v>
      </c>
      <c r="G74" s="22">
        <v>4</v>
      </c>
      <c r="H74" s="21" t="str">
        <v>정상</v>
      </c>
      <c r="I74" s="23" t="str" cm="1">
        <f t="array" ref="I74">IF(B74="", "", _xlfn.TEXTJOIN(", ", TRUE, _xlfn.UNIQUE(_xlfn._xlws.FILTER(입출고대장!$I:$I, (입출고대장!$D:$D=B74)*(입출고대장!$E:$E=C74)*(입출고대장!$F:$F=D74)*(입출고대장!$I:$I&lt;&gt;""), ""))))</f>
        <v>Dominus</v>
      </c>
    </row>
    <row r="75" spans="1:9" ht="17.25" x14ac:dyDescent="0.3">
      <c r="A75" s="20" t="str">
        <v>미국</v>
      </c>
      <c r="B75" s="21" t="str">
        <v>문차이 코 레오니스</v>
      </c>
      <c r="C75" s="21">
        <v>2010</v>
      </c>
      <c r="D75" s="21" t="str">
        <v>10번랙</v>
      </c>
      <c r="E75" s="22">
        <v>6</v>
      </c>
      <c r="F75" s="22">
        <v>0</v>
      </c>
      <c r="G75" s="22">
        <v>6</v>
      </c>
      <c r="H75" s="21" t="str">
        <v>정상</v>
      </c>
      <c r="I75" s="23" t="str" cm="1">
        <f t="array" ref="I75">IF(B75="", "", _xlfn.TEXTJOIN(", ", TRUE, _xlfn.UNIQUE(_xlfn._xlws.FILTER(입출고대장!$I:$I, (입출고대장!$D:$D=B75)*(입출고대장!$E:$E=C75)*(입출고대장!$F:$F=D75)*(입출고대장!$I:$I&lt;&gt;""), ""))))</f>
        <v>Moon Tsai Cor Leonis</v>
      </c>
    </row>
    <row r="76" spans="1:9" ht="17.25" x14ac:dyDescent="0.3">
      <c r="A76" s="20" t="str">
        <v>미국</v>
      </c>
      <c r="B76" s="21" t="str">
        <v>오소메</v>
      </c>
      <c r="C76" s="21">
        <v>2010</v>
      </c>
      <c r="D76" s="21" t="str">
        <v>10번랙</v>
      </c>
      <c r="E76" s="22">
        <v>2</v>
      </c>
      <c r="F76" s="22">
        <v>0</v>
      </c>
      <c r="G76" s="22">
        <v>2</v>
      </c>
      <c r="H76" s="21" t="str">
        <v>정상</v>
      </c>
      <c r="I76" s="23" t="str" cm="1">
        <f t="array" ref="I76">IF(B76="", "", _xlfn.TEXTJOIN(", ", TRUE, _xlfn.UNIQUE(_xlfn._xlws.FILTER(입출고대장!$I:$I, (입출고대장!$D:$D=B76)*(입출고대장!$E:$E=C76)*(입출고대장!$F:$F=D76)*(입출고대장!$I:$I&lt;&gt;""), ""))))</f>
        <v>Au Sommet</v>
      </c>
    </row>
    <row r="77" spans="1:9" ht="17.25" x14ac:dyDescent="0.3">
      <c r="A77" s="20" t="str">
        <v>미국</v>
      </c>
      <c r="B77" s="21" t="str">
        <v>오소메</v>
      </c>
      <c r="C77" s="21">
        <v>2011</v>
      </c>
      <c r="D77" s="21" t="str">
        <v>10번랙</v>
      </c>
      <c r="E77" s="22">
        <v>1</v>
      </c>
      <c r="F77" s="22">
        <v>0</v>
      </c>
      <c r="G77" s="22">
        <v>1</v>
      </c>
      <c r="H77" s="21" t="str">
        <v>정상</v>
      </c>
      <c r="I77" s="23" t="str" cm="1">
        <f t="array" ref="I77">IF(B77="", "", _xlfn.TEXTJOIN(", ", TRUE, _xlfn.UNIQUE(_xlfn._xlws.FILTER(입출고대장!$I:$I, (입출고대장!$D:$D=B77)*(입출고대장!$E:$E=C77)*(입출고대장!$F:$F=D77)*(입출고대장!$I:$I&lt;&gt;""), ""))))</f>
        <v>Au Sommet</v>
      </c>
    </row>
    <row r="78" spans="1:9" ht="17.25" x14ac:dyDescent="0.3">
      <c r="A78" s="20" t="str">
        <v>미국</v>
      </c>
      <c r="B78" s="21" t="str">
        <v>오소메</v>
      </c>
      <c r="C78" s="21">
        <v>2022</v>
      </c>
      <c r="D78" s="21" t="str">
        <v>10번랙</v>
      </c>
      <c r="E78" s="22">
        <v>2</v>
      </c>
      <c r="F78" s="22">
        <v>0</v>
      </c>
      <c r="G78" s="22">
        <v>2</v>
      </c>
      <c r="H78" s="21" t="str">
        <v>정상</v>
      </c>
      <c r="I78" s="23" t="str" cm="1">
        <f t="array" ref="I78">IF(B78="", "", _xlfn.TEXTJOIN(", ", TRUE, _xlfn.UNIQUE(_xlfn._xlws.FILTER(입출고대장!$I:$I, (입출고대장!$D:$D=B78)*(입출고대장!$E:$E=C78)*(입출고대장!$F:$F=D78)*(입출고대장!$I:$I&lt;&gt;""), ""))))</f>
        <v>Au Sommet</v>
      </c>
    </row>
    <row r="79" spans="1:9" ht="17.25" x14ac:dyDescent="0.3">
      <c r="A79" s="20" t="str">
        <v>미국</v>
      </c>
      <c r="B79" s="21" t="str">
        <v>케이머스</v>
      </c>
      <c r="C79" s="21">
        <v>2013</v>
      </c>
      <c r="D79" s="21" t="str">
        <v>10번랙</v>
      </c>
      <c r="E79" s="22">
        <v>6</v>
      </c>
      <c r="F79" s="22">
        <v>0</v>
      </c>
      <c r="G79" s="22">
        <v>6</v>
      </c>
      <c r="H79" s="21" t="str">
        <v>정상</v>
      </c>
      <c r="I79" s="23" t="str" cm="1">
        <f t="array" ref="I79">IF(B79="", "", _xlfn.TEXTJOIN(", ", TRUE, _xlfn.UNIQUE(_xlfn._xlws.FILTER(입출고대장!$I:$I, (입출고대장!$D:$D=B79)*(입출고대장!$E:$E=C79)*(입출고대장!$F:$F=D79)*(입출고대장!$I:$I&lt;&gt;""), ""))))</f>
        <v>Caymus</v>
      </c>
    </row>
    <row r="80" spans="1:9" ht="17.25" x14ac:dyDescent="0.3">
      <c r="A80" s="20" t="str">
        <v>프랑스</v>
      </c>
      <c r="B80" s="21" t="str">
        <v>샤또 슈발 블랑</v>
      </c>
      <c r="C80" s="21">
        <v>2005</v>
      </c>
      <c r="D80" s="21" t="str">
        <v>10번랙</v>
      </c>
      <c r="E80" s="22">
        <v>6</v>
      </c>
      <c r="F80" s="22">
        <v>0</v>
      </c>
      <c r="G80" s="22">
        <v>6</v>
      </c>
      <c r="H80" s="21" t="str">
        <v>정상</v>
      </c>
      <c r="I80" s="23" t="str" cm="1">
        <f t="array" ref="I80">IF(B80="", "", _xlfn.TEXTJOIN(", ", TRUE, _xlfn.UNIQUE(_xlfn._xlws.FILTER(입출고대장!$I:$I, (입출고대장!$D:$D=B80)*(입출고대장!$E:$E=C80)*(입출고대장!$F:$F=D80)*(입출고대장!$I:$I&lt;&gt;""), ""))))</f>
        <v>Ch.Cheval Blanc</v>
      </c>
    </row>
    <row r="81" spans="1:9" ht="17.25" x14ac:dyDescent="0.3">
      <c r="A81" s="20" t="str">
        <v>프랑스</v>
      </c>
      <c r="B81" s="21" t="str">
        <v>샤또 오베이</v>
      </c>
      <c r="C81" s="21">
        <v>2009</v>
      </c>
      <c r="D81" s="21" t="str">
        <v>10번랙</v>
      </c>
      <c r="E81" s="22">
        <v>6</v>
      </c>
      <c r="F81" s="22">
        <v>0</v>
      </c>
      <c r="G81" s="22">
        <v>6</v>
      </c>
      <c r="H81" s="21" t="str">
        <v>정상</v>
      </c>
      <c r="I81" s="23" t="str" cm="1">
        <f t="array" ref="I81">IF(B81="", "", _xlfn.TEXTJOIN(", ", TRUE, _xlfn.UNIQUE(_xlfn._xlws.FILTER(입출고대장!$I:$I, (입출고대장!$D:$D=B81)*(입출고대장!$E:$E=C81)*(입출고대장!$F:$F=D81)*(입출고대장!$I:$I&lt;&gt;""), ""))))</f>
        <v>Ch.Haut-Bailly</v>
      </c>
    </row>
    <row r="82" spans="1:9" ht="17.25" x14ac:dyDescent="0.3">
      <c r="A82" s="20" t="str">
        <v>프랑스</v>
      </c>
      <c r="B82" s="21" t="str">
        <v>샤또 뒤크르 보까이유</v>
      </c>
      <c r="C82" s="21">
        <v>2003</v>
      </c>
      <c r="D82" s="21" t="str">
        <v>11번랙</v>
      </c>
      <c r="E82" s="22">
        <v>6</v>
      </c>
      <c r="F82" s="22">
        <v>0</v>
      </c>
      <c r="G82" s="22">
        <v>6</v>
      </c>
      <c r="H82" s="21" t="str">
        <v>정상</v>
      </c>
      <c r="I82" s="23" t="str" cm="1">
        <f t="array" ref="I82">IF(B82="", "", _xlfn.TEXTJOIN(", ", TRUE, _xlfn.UNIQUE(_xlfn._xlws.FILTER(입출고대장!$I:$I, (입출고대장!$D:$D=B82)*(입출고대장!$E:$E=C82)*(입출고대장!$F:$F=D82)*(입출고대장!$I:$I&lt;&gt;""), ""))))</f>
        <v>Ch.Ducru Beaucaillou</v>
      </c>
    </row>
    <row r="83" spans="1:9" ht="17.25" x14ac:dyDescent="0.3">
      <c r="A83" s="20" t="str">
        <v>프랑스</v>
      </c>
      <c r="B83" s="21" t="str">
        <v>샤또 뒤크르 보까이유</v>
      </c>
      <c r="C83" s="21">
        <v>2005</v>
      </c>
      <c r="D83" s="21" t="str">
        <v>11번랙</v>
      </c>
      <c r="E83" s="22">
        <v>9</v>
      </c>
      <c r="F83" s="22">
        <v>0</v>
      </c>
      <c r="G83" s="22">
        <v>9</v>
      </c>
      <c r="H83" s="21" t="str">
        <v>정상</v>
      </c>
      <c r="I83" s="23" t="str" cm="1">
        <f t="array" ref="I83">IF(B83="", "", _xlfn.TEXTJOIN(", ", TRUE, _xlfn.UNIQUE(_xlfn._xlws.FILTER(입출고대장!$I:$I, (입출고대장!$D:$D=B83)*(입출고대장!$E:$E=C83)*(입출고대장!$F:$F=D83)*(입출고대장!$I:$I&lt;&gt;""), ""))))</f>
        <v>Ch.Ducru Beaucaillou</v>
      </c>
    </row>
    <row r="84" spans="1:9" ht="17.25" x14ac:dyDescent="0.3">
      <c r="A84" s="20" t="str">
        <v>프랑스</v>
      </c>
      <c r="B84" s="21" t="str">
        <v>샤또 뽕떼 까네</v>
      </c>
      <c r="C84" s="21">
        <v>2010</v>
      </c>
      <c r="D84" s="21" t="str">
        <v>11번랙</v>
      </c>
      <c r="E84" s="22">
        <v>6</v>
      </c>
      <c r="F84" s="22">
        <v>0</v>
      </c>
      <c r="G84" s="22">
        <v>6</v>
      </c>
      <c r="H84" s="21" t="str">
        <v>정상</v>
      </c>
      <c r="I84" s="23" t="str" cm="1">
        <f t="array" ref="I84">IF(B84="", "", _xlfn.TEXTJOIN(", ", TRUE, _xlfn.UNIQUE(_xlfn._xlws.FILTER(입출고대장!$I:$I, (입출고대장!$D:$D=B84)*(입출고대장!$E:$E=C84)*(입출고대장!$F:$F=D84)*(입출고대장!$I:$I&lt;&gt;""), ""))))</f>
        <v>Ch.Pontet Canet</v>
      </c>
    </row>
    <row r="85" spans="1:9" ht="17.25" x14ac:dyDescent="0.3">
      <c r="A85" s="20" t="str">
        <v>프랑스</v>
      </c>
      <c r="B85" s="21" t="str">
        <v>샤또 팔머</v>
      </c>
      <c r="C85" s="21">
        <v>2005</v>
      </c>
      <c r="D85" s="21" t="str">
        <v>11번랙</v>
      </c>
      <c r="E85" s="22">
        <v>10</v>
      </c>
      <c r="F85" s="22">
        <v>0</v>
      </c>
      <c r="G85" s="22">
        <v>10</v>
      </c>
      <c r="H85" s="21" t="str">
        <v>정상</v>
      </c>
      <c r="I85" s="23" t="str" cm="1">
        <f t="array" ref="I85">IF(B85="", "", _xlfn.TEXTJOIN(", ", TRUE, _xlfn.UNIQUE(_xlfn._xlws.FILTER(입출고대장!$I:$I, (입출고대장!$D:$D=B85)*(입출고대장!$E:$E=C85)*(입출고대장!$F:$F=D85)*(입출고대장!$I:$I&lt;&gt;""), ""))))</f>
        <v>Ch.Palmer</v>
      </c>
    </row>
    <row r="86" spans="1:9" ht="17.25" x14ac:dyDescent="0.3">
      <c r="A86" s="20" t="str">
        <v>프랑스</v>
      </c>
      <c r="B86" s="21" t="str">
        <v>샤또 레글리즈 끌리네</v>
      </c>
      <c r="C86" s="21">
        <v>2005</v>
      </c>
      <c r="D86" s="21" t="str">
        <v>12번랙</v>
      </c>
      <c r="E86" s="22">
        <v>6</v>
      </c>
      <c r="F86" s="22">
        <v>0</v>
      </c>
      <c r="G86" s="22">
        <v>6</v>
      </c>
      <c r="H86" s="21" t="str">
        <v>정상</v>
      </c>
      <c r="I86" s="23" t="str" cm="1">
        <f t="array" ref="I86">IF(B86="", "", _xlfn.TEXTJOIN(", ", TRUE, _xlfn.UNIQUE(_xlfn._xlws.FILTER(입출고대장!$I:$I, (입출고대장!$D:$D=B86)*(입출고대장!$E:$E=C86)*(입출고대장!$F:$F=D86)*(입출고대장!$I:$I&lt;&gt;""), ""))))</f>
        <v>Ch.L'eglise Clinet</v>
      </c>
    </row>
    <row r="87" spans="1:9" ht="17.25" x14ac:dyDescent="0.3">
      <c r="A87" s="20" t="str">
        <v>프랑스</v>
      </c>
      <c r="B87" s="21" t="str">
        <v>샤또 레오빌 라스 까스</v>
      </c>
      <c r="C87" s="21">
        <v>2005</v>
      </c>
      <c r="D87" s="21" t="str">
        <v>12번랙</v>
      </c>
      <c r="E87" s="22">
        <v>13</v>
      </c>
      <c r="F87" s="22">
        <v>0</v>
      </c>
      <c r="G87" s="22">
        <v>13</v>
      </c>
      <c r="H87" s="21" t="str">
        <v>정상</v>
      </c>
      <c r="I87" s="23" t="str" cm="1">
        <f t="array" ref="I87">IF(B87="", "", _xlfn.TEXTJOIN(", ", TRUE, _xlfn.UNIQUE(_xlfn._xlws.FILTER(입출고대장!$I:$I, (입출고대장!$D:$D=B87)*(입출고대장!$E:$E=C87)*(입출고대장!$F:$F=D87)*(입출고대장!$I:$I&lt;&gt;""), ""))))</f>
        <v>Ch.Leoville Las Cases</v>
      </c>
    </row>
    <row r="88" spans="1:9" ht="17.25" x14ac:dyDescent="0.3">
      <c r="A88" s="20" t="str">
        <v>프랑스</v>
      </c>
      <c r="B88" s="21" t="str">
        <v>샤또 레오빌 라스 까스</v>
      </c>
      <c r="C88" s="21">
        <v>2008</v>
      </c>
      <c r="D88" s="21" t="str">
        <v>12번랙</v>
      </c>
      <c r="E88" s="22">
        <v>2</v>
      </c>
      <c r="F88" s="22">
        <v>0</v>
      </c>
      <c r="G88" s="22">
        <v>2</v>
      </c>
      <c r="H88" s="21" t="str">
        <v>정상</v>
      </c>
      <c r="I88" s="23" t="str" cm="1">
        <f t="array" ref="I88">IF(B88="", "", _xlfn.TEXTJOIN(", ", TRUE, _xlfn.UNIQUE(_xlfn._xlws.FILTER(입출고대장!$I:$I, (입출고대장!$D:$D=B88)*(입출고대장!$E:$E=C88)*(입출고대장!$F:$F=D88)*(입출고대장!$I:$I&lt;&gt;""), ""))))</f>
        <v>Ch.Leoville Las Cases</v>
      </c>
    </row>
    <row r="89" spans="1:9" ht="17.25" x14ac:dyDescent="0.3">
      <c r="A89" s="20" t="str">
        <v>프랑스</v>
      </c>
      <c r="B89" s="21" t="str">
        <v>샤또 레오빌 라스 까스</v>
      </c>
      <c r="C89" s="21">
        <v>2010</v>
      </c>
      <c r="D89" s="21" t="str">
        <v>12번랙</v>
      </c>
      <c r="E89" s="22">
        <v>3</v>
      </c>
      <c r="F89" s="22">
        <v>0</v>
      </c>
      <c r="G89" s="22">
        <v>3</v>
      </c>
      <c r="H89" s="21" t="str">
        <v>정상</v>
      </c>
      <c r="I89" s="23" t="str" cm="1">
        <f t="array" ref="I89">IF(B89="", "", _xlfn.TEXTJOIN(", ", TRUE, _xlfn.UNIQUE(_xlfn._xlws.FILTER(입출고대장!$I:$I, (입출고대장!$D:$D=B89)*(입출고대장!$E:$E=C89)*(입출고대장!$F:$F=D89)*(입출고대장!$I:$I&lt;&gt;""), ""))))</f>
        <v>Ch.Leoville Las Cases</v>
      </c>
    </row>
    <row r="90" spans="1:9" ht="17.25" x14ac:dyDescent="0.3">
      <c r="A90" s="20" t="str">
        <v>프랑스</v>
      </c>
      <c r="B90" s="21" t="str">
        <v>돔페리뇽</v>
      </c>
      <c r="C90" s="21">
        <v>2006</v>
      </c>
      <c r="D90" s="21" t="str">
        <v>14번랙</v>
      </c>
      <c r="E90" s="22">
        <v>1</v>
      </c>
      <c r="F90" s="22">
        <v>0</v>
      </c>
      <c r="G90" s="22">
        <v>1</v>
      </c>
      <c r="H90" s="21" t="str">
        <v>정상</v>
      </c>
      <c r="I90" s="23" t="str" cm="1">
        <f t="array" ref="I90">IF(B90="", "", _xlfn.TEXTJOIN(", ", TRUE, _xlfn.UNIQUE(_xlfn._xlws.FILTER(입출고대장!$I:$I, (입출고대장!$D:$D=B90)*(입출고대장!$E:$E=C90)*(입출고대장!$F:$F=D90)*(입출고대장!$I:$I&lt;&gt;""), ""))))</f>
        <v>샴페인</v>
      </c>
    </row>
    <row r="91" spans="1:9" ht="17.25" x14ac:dyDescent="0.3">
      <c r="A91" s="20" t="str">
        <v>프랑스</v>
      </c>
      <c r="B91" s="21" t="str">
        <v>로랑페리에</v>
      </c>
      <c r="C91" s="21">
        <v>2004</v>
      </c>
      <c r="D91" s="21" t="str">
        <v>14번랙</v>
      </c>
      <c r="E91" s="22">
        <v>3</v>
      </c>
      <c r="F91" s="22">
        <v>0</v>
      </c>
      <c r="G91" s="22">
        <v>3</v>
      </c>
      <c r="H91" s="21" t="str">
        <v>정상</v>
      </c>
      <c r="I91" s="23" t="str" cm="1">
        <f t="array" ref="I91">IF(B91="", "", _xlfn.TEXTJOIN(", ", TRUE, _xlfn.UNIQUE(_xlfn._xlws.FILTER(입출고대장!$I:$I, (입출고대장!$D:$D=B91)*(입출고대장!$E:$E=C91)*(입출고대장!$F:$F=D91)*(입출고대장!$I:$I&lt;&gt;""), ""))))</f>
        <v>샴페인</v>
      </c>
    </row>
    <row r="92" spans="1:9" ht="17.25" x14ac:dyDescent="0.3">
      <c r="A92" s="20" t="str">
        <v>프랑스</v>
      </c>
      <c r="B92" s="21" t="str">
        <v>볼랭저, 비에이 비뉴 프랑세스</v>
      </c>
      <c r="C92" s="21">
        <v>2000</v>
      </c>
      <c r="D92" s="21" t="str">
        <v>14번랙</v>
      </c>
      <c r="E92" s="22">
        <v>3</v>
      </c>
      <c r="F92" s="22">
        <v>0</v>
      </c>
      <c r="G92" s="22">
        <v>3</v>
      </c>
      <c r="H92" s="21" t="str">
        <v>정상</v>
      </c>
      <c r="I92" s="23" t="str" cm="1">
        <f t="array" ref="I92">IF(B92="", "", _xlfn.TEXTJOIN(", ", TRUE, _xlfn.UNIQUE(_xlfn._xlws.FILTER(입출고대장!$I:$I, (입출고대장!$D:$D=B92)*(입출고대장!$E:$E=C92)*(입출고대장!$F:$F=D92)*(입출고대장!$I:$I&lt;&gt;""), ""))))</f>
        <v>샴페인 (Bollinger VVF)</v>
      </c>
    </row>
    <row r="93" spans="1:9" ht="17.25" x14ac:dyDescent="0.3">
      <c r="A93" s="20" t="str">
        <v>프랑스</v>
      </c>
      <c r="B93" s="21" t="str">
        <v>볼랭저, 비에이 비뉴 프랑세스</v>
      </c>
      <c r="C93" s="21">
        <v>2005</v>
      </c>
      <c r="D93" s="21" t="str">
        <v>14번랙</v>
      </c>
      <c r="E93" s="22">
        <v>3</v>
      </c>
      <c r="F93" s="22">
        <v>0</v>
      </c>
      <c r="G93" s="22">
        <v>3</v>
      </c>
      <c r="H93" s="21" t="str">
        <v>정상</v>
      </c>
      <c r="I93" s="23" t="str" cm="1">
        <f t="array" ref="I93">IF(B93="", "", _xlfn.TEXTJOIN(", ", TRUE, _xlfn.UNIQUE(_xlfn._xlws.FILTER(입출고대장!$I:$I, (입출고대장!$D:$D=B93)*(입출고대장!$E:$E=C93)*(입출고대장!$F:$F=D93)*(입출고대장!$I:$I&lt;&gt;""), ""))))</f>
        <v>샴페인 (Bollinger VVF)</v>
      </c>
    </row>
    <row r="94" spans="1:9" ht="17.25" x14ac:dyDescent="0.3">
      <c r="A94" s="20" t="str">
        <v>프랑스</v>
      </c>
      <c r="B94" s="21" t="str">
        <v>볼랭저, 비에이 비뉴 프랑세스</v>
      </c>
      <c r="C94" s="21">
        <v>2007</v>
      </c>
      <c r="D94" s="21" t="str">
        <v>14번랙</v>
      </c>
      <c r="E94" s="22">
        <v>3</v>
      </c>
      <c r="F94" s="22">
        <v>0</v>
      </c>
      <c r="G94" s="22">
        <v>3</v>
      </c>
      <c r="H94" s="21" t="str">
        <v>정상</v>
      </c>
      <c r="I94" s="23" t="str" cm="1">
        <f t="array" ref="I94">IF(B94="", "", _xlfn.TEXTJOIN(", ", TRUE, _xlfn.UNIQUE(_xlfn._xlws.FILTER(입출고대장!$I:$I, (입출고대장!$D:$D=B94)*(입출고대장!$E:$E=C94)*(입출고대장!$F:$F=D94)*(입출고대장!$I:$I&lt;&gt;""), ""))))</f>
        <v>샴페인 (Bollinger VVF)</v>
      </c>
    </row>
    <row r="95" spans="1:9" ht="17.25" x14ac:dyDescent="0.3">
      <c r="A95" s="20" t="str">
        <v>프랑스</v>
      </c>
      <c r="B95" s="21" t="str">
        <v>아르망드 브리냑 로제 750ml</v>
      </c>
      <c r="C95" s="21">
        <v>2000</v>
      </c>
      <c r="D95" s="21" t="str">
        <v>14번랙</v>
      </c>
      <c r="E95" s="22">
        <v>12</v>
      </c>
      <c r="F95" s="22">
        <v>0</v>
      </c>
      <c r="G95" s="22">
        <v>12</v>
      </c>
      <c r="H95" s="21" t="str">
        <v>정상</v>
      </c>
      <c r="I95" s="23" t="str" cm="1">
        <f t="array" ref="I95">IF(B95="", "", _xlfn.TEXTJOIN(", ", TRUE, _xlfn.UNIQUE(_xlfn._xlws.FILTER(입출고대장!$I:$I, (입출고대장!$D:$D=B95)*(입출고대장!$E:$E=C95)*(입출고대장!$F:$F=D95)*(입출고대장!$I:$I&lt;&gt;""), ""))))</f>
        <v>샴페인</v>
      </c>
    </row>
    <row r="96" spans="1:9" ht="17.25" x14ac:dyDescent="0.3">
      <c r="A96" s="20" t="str">
        <v>프랑스</v>
      </c>
      <c r="B96" s="21" t="str">
        <v>아르망드 브리냑 로제 750ml</v>
      </c>
      <c r="C96" s="21">
        <v>2003</v>
      </c>
      <c r="D96" s="21" t="str">
        <v>14번랙</v>
      </c>
      <c r="E96" s="22">
        <v>15</v>
      </c>
      <c r="F96" s="22">
        <v>0</v>
      </c>
      <c r="G96" s="22">
        <v>15</v>
      </c>
      <c r="H96" s="21" t="str">
        <v>정상</v>
      </c>
      <c r="I96" s="23" t="str" cm="1">
        <f t="array" ref="I96">IF(B96="", "", _xlfn.TEXTJOIN(", ", TRUE, _xlfn.UNIQUE(_xlfn._xlws.FILTER(입출고대장!$I:$I, (입출고대장!$D:$D=B96)*(입출고대장!$E:$E=C96)*(입출고대장!$F:$F=D96)*(입출고대장!$I:$I&lt;&gt;""), ""))))</f>
        <v>샴페인</v>
      </c>
    </row>
    <row r="97" spans="1:9" ht="17.25" x14ac:dyDescent="0.3">
      <c r="A97" s="20" t="str">
        <v>프랑스</v>
      </c>
      <c r="B97" s="21" t="str">
        <v>자크숑 릴레징</v>
      </c>
      <c r="C97" s="21" t="str">
        <v>NV</v>
      </c>
      <c r="D97" s="21" t="str">
        <v>14번랙</v>
      </c>
      <c r="E97" s="22">
        <v>1</v>
      </c>
      <c r="F97" s="22">
        <v>0</v>
      </c>
      <c r="G97" s="22">
        <v>1</v>
      </c>
      <c r="H97" s="21" t="str">
        <v>정상</v>
      </c>
      <c r="I97" s="23" t="str" cm="1">
        <f t="array" ref="I97">IF(B97="", "", _xlfn.TEXTJOIN(", ", TRUE, _xlfn.UNIQUE(_xlfn._xlws.FILTER(입출고대장!$I:$I, (입출고대장!$D:$D=B97)*(입출고대장!$E:$E=C97)*(입출고대장!$F:$F=D97)*(입출고대장!$I:$I&lt;&gt;""), ""))))</f>
        <v>샴페인</v>
      </c>
    </row>
    <row r="98" spans="1:9" ht="17.25" x14ac:dyDescent="0.3">
      <c r="A98" s="20" t="str">
        <v>프랑스</v>
      </c>
      <c r="B98" s="21" t="str">
        <v>크룩 KRUG 샴페인</v>
      </c>
      <c r="C98" s="21">
        <v>1998</v>
      </c>
      <c r="D98" s="21" t="str">
        <v>14번랙</v>
      </c>
      <c r="E98" s="22">
        <v>1</v>
      </c>
      <c r="F98" s="22">
        <v>0</v>
      </c>
      <c r="G98" s="22">
        <v>1</v>
      </c>
      <c r="H98" s="21" t="str">
        <v>정상</v>
      </c>
      <c r="I98" s="23" t="str" cm="1">
        <f t="array" ref="I98">IF(B98="", "", _xlfn.TEXTJOIN(", ", TRUE, _xlfn.UNIQUE(_xlfn._xlws.FILTER(입출고대장!$I:$I, (입출고대장!$D:$D=B98)*(입출고대장!$E:$E=C98)*(입출고대장!$F:$F=D98)*(입출고대장!$I:$I&lt;&gt;""), ""))))</f>
        <v>샴페인</v>
      </c>
    </row>
    <row r="99" spans="1:9" ht="17.25" x14ac:dyDescent="0.3">
      <c r="A99" s="20" t="str">
        <v>미국</v>
      </c>
      <c r="B99" s="21" t="str">
        <v>오퍼스원</v>
      </c>
      <c r="C99" s="21">
        <v>2010</v>
      </c>
      <c r="D99" s="21" t="str">
        <v>15번랙</v>
      </c>
      <c r="E99" s="22">
        <v>2</v>
      </c>
      <c r="F99" s="22">
        <v>0</v>
      </c>
      <c r="G99" s="22">
        <v>2</v>
      </c>
      <c r="H99" s="21" t="str">
        <v>정상</v>
      </c>
      <c r="I99" s="23" t="str" cm="1">
        <f t="array" ref="I99">IF(B99="", "", _xlfn.TEXTJOIN(", ", TRUE, _xlfn.UNIQUE(_xlfn._xlws.FILTER(입출고대장!$I:$I, (입출고대장!$D:$D=B99)*(입출고대장!$E:$E=C99)*(입출고대장!$F:$F=D99)*(입출고대장!$I:$I&lt;&gt;""), ""))))</f>
        <v>매그넘 (Opus One)</v>
      </c>
    </row>
    <row r="100" spans="1:9" ht="17.25" x14ac:dyDescent="0.3">
      <c r="A100" s="20" t="str">
        <v>미국</v>
      </c>
      <c r="B100" s="21" t="str">
        <v>케이머스 S.셀렉션 (매그넘)</v>
      </c>
      <c r="C100" s="21">
        <v>2013</v>
      </c>
      <c r="D100" s="21" t="str">
        <v>15번랙</v>
      </c>
      <c r="E100" s="22">
        <v>1</v>
      </c>
      <c r="F100" s="22">
        <v>0</v>
      </c>
      <c r="G100" s="22">
        <v>1</v>
      </c>
      <c r="H100" s="21" t="str">
        <v>정상</v>
      </c>
      <c r="I100" s="23" t="str" cm="1">
        <f t="array" ref="I100">IF(B100="", "", _xlfn.TEXTJOIN(", ", TRUE, _xlfn.UNIQUE(_xlfn._xlws.FILTER(입출고대장!$I:$I, (입출고대장!$D:$D=B100)*(입출고대장!$E:$E=C100)*(입출고대장!$F:$F=D100)*(입출고대장!$I:$I&lt;&gt;""), ""))))</f>
        <v>매그넘 (Caymus S. Selection)</v>
      </c>
    </row>
    <row r="101" spans="1:9" ht="17.25" x14ac:dyDescent="0.3">
      <c r="A101" s="20" t="str">
        <v>프랑스</v>
      </c>
      <c r="B101" s="21" t="str">
        <v>(OT) 올리비에 귀요 샹볼 뮈지니 1등급 레 보드</v>
      </c>
      <c r="C101" s="21">
        <v>2020</v>
      </c>
      <c r="D101" s="21" t="str">
        <v>15번랙</v>
      </c>
      <c r="E101" s="22">
        <v>2</v>
      </c>
      <c r="F101" s="22">
        <v>0</v>
      </c>
      <c r="G101" s="22">
        <v>2</v>
      </c>
      <c r="H101" s="21" t="str">
        <v>정상</v>
      </c>
      <c r="I101" s="23" t="str" cm="1">
        <f t="array" ref="I101">IF(B101="", "", _xlfn.TEXTJOIN(", ", TRUE, _xlfn.UNIQUE(_xlfn._xlws.FILTER(입출고대장!$I:$I, (입출고대장!$D:$D=B101)*(입출고대장!$E:$E=C101)*(입출고대장!$F:$F=D101)*(입출고대장!$I:$I&lt;&gt;""), ""))))</f>
        <v>Olivier Guyot</v>
      </c>
    </row>
    <row r="102" spans="1:9" ht="17.25" x14ac:dyDescent="0.3">
      <c r="A102" s="20" t="str">
        <v>프랑스</v>
      </c>
      <c r="B102" s="21" t="str">
        <v>도멘 A.F. 그로 본 로마네 끌로 드 라 퐁텐 (매그넘)</v>
      </c>
      <c r="C102" s="21">
        <v>2020</v>
      </c>
      <c r="D102" s="21" t="str">
        <v>15번랙</v>
      </c>
      <c r="E102" s="22">
        <v>1</v>
      </c>
      <c r="F102" s="22">
        <v>0</v>
      </c>
      <c r="G102" s="22">
        <v>1</v>
      </c>
      <c r="H102" s="21" t="str">
        <v>정상</v>
      </c>
      <c r="I102" s="23" t="str" cm="1">
        <f t="array" ref="I102">IF(B102="", "", _xlfn.TEXTJOIN(", ", TRUE, _xlfn.UNIQUE(_xlfn._xlws.FILTER(입출고대장!$I:$I, (입출고대장!$D:$D=B102)*(입출고대장!$E:$E=C102)*(입출고대장!$F:$F=D102)*(입출고대장!$I:$I&lt;&gt;""), ""))))</f>
        <v>매그넘</v>
      </c>
    </row>
    <row r="103" spans="1:9" ht="17.25" x14ac:dyDescent="0.3">
      <c r="A103" s="20" t="str">
        <v>프랑스</v>
      </c>
      <c r="B103" s="21" t="str">
        <v>도멘 장테 팡시오 샤름 샹베르탱 그랑 크뤼 (매그넘)</v>
      </c>
      <c r="C103" s="21">
        <v>2019</v>
      </c>
      <c r="D103" s="21" t="str">
        <v>15번랙</v>
      </c>
      <c r="E103" s="22">
        <v>2</v>
      </c>
      <c r="F103" s="22">
        <v>0</v>
      </c>
      <c r="G103" s="22">
        <v>2</v>
      </c>
      <c r="H103" s="21" t="str">
        <v>정상</v>
      </c>
      <c r="I103" s="23" t="str" cm="1">
        <f t="array" ref="I103">IF(B103="", "", _xlfn.TEXTJOIN(", ", TRUE, _xlfn.UNIQUE(_xlfn._xlws.FILTER(입출고대장!$I:$I, (입출고대장!$D:$D=B103)*(입출고대장!$E:$E=C103)*(입출고대장!$F:$F=D103)*(입출고대장!$I:$I&lt;&gt;""), ""))))</f>
        <v>매그넘</v>
      </c>
    </row>
    <row r="104" spans="1:9" ht="17.25" x14ac:dyDescent="0.3">
      <c r="A104" s="20" t="str">
        <v>프랑스</v>
      </c>
      <c r="B104" s="21" t="str">
        <v>메종 카미유 지로 샹볼 뮈지니 1등급 레 제샹주</v>
      </c>
      <c r="C104" s="21">
        <v>2017</v>
      </c>
      <c r="D104" s="21" t="str">
        <v>15번랙</v>
      </c>
      <c r="E104" s="22">
        <v>2</v>
      </c>
      <c r="F104" s="22">
        <v>0</v>
      </c>
      <c r="G104" s="22">
        <v>2</v>
      </c>
      <c r="H104" s="21" t="str">
        <v>정상</v>
      </c>
      <c r="I104" s="23" t="str" cm="1">
        <f t="array" ref="I104">IF(B104="", "", _xlfn.TEXTJOIN(", ", TRUE, _xlfn.UNIQUE(_xlfn._xlws.FILTER(입출고대장!$I:$I, (입출고대장!$D:$D=B104)*(입출고대장!$E:$E=C104)*(입출고대장!$F:$F=D104)*(입출고대장!$I:$I&lt;&gt;""), ""))))</f>
        <v>MAISON CAMILLE GIROUD</v>
      </c>
    </row>
    <row r="105" spans="1:9" ht="17.25" x14ac:dyDescent="0.3">
      <c r="A105" s="20" t="str">
        <v>프랑스</v>
      </c>
      <c r="B105" s="21" t="str">
        <v>샤또 라플레르</v>
      </c>
      <c r="C105" s="21">
        <v>1995</v>
      </c>
      <c r="D105" s="21" t="str">
        <v>15번랙</v>
      </c>
      <c r="E105" s="22">
        <v>5</v>
      </c>
      <c r="F105" s="22">
        <v>0</v>
      </c>
      <c r="G105" s="22">
        <v>5</v>
      </c>
      <c r="H105" s="21" t="str">
        <v>정상</v>
      </c>
      <c r="I105" s="23" t="str" cm="1">
        <f t="array" ref="I105">IF(B105="", "", _xlfn.TEXTJOIN(", ", TRUE, _xlfn.UNIQUE(_xlfn._xlws.FILTER(입출고대장!$I:$I, (입출고대장!$D:$D=B105)*(입출고대장!$E:$E=C105)*(입출고대장!$F:$F=D105)*(입출고대장!$I:$I&lt;&gt;""), ""))))</f>
        <v>Ch.Lafleur</v>
      </c>
    </row>
    <row r="106" spans="1:9" ht="17.25" x14ac:dyDescent="0.3">
      <c r="A106" s="20" t="str">
        <v>프랑스</v>
      </c>
      <c r="B106" s="21" t="str">
        <v>샤또 앙젤루스</v>
      </c>
      <c r="C106" s="21">
        <v>2003</v>
      </c>
      <c r="D106" s="21" t="str">
        <v>15번랙</v>
      </c>
      <c r="E106" s="22">
        <v>36</v>
      </c>
      <c r="F106" s="22">
        <v>0</v>
      </c>
      <c r="G106" s="22">
        <v>36</v>
      </c>
      <c r="H106" s="21" t="str">
        <v>정상</v>
      </c>
      <c r="I106" s="23" t="str" cm="1">
        <f t="array" ref="I106">IF(B106="", "", _xlfn.TEXTJOIN(", ", TRUE, _xlfn.UNIQUE(_xlfn._xlws.FILTER(입출고대장!$I:$I, (입출고대장!$D:$D=B106)*(입출고대장!$E:$E=C106)*(입출고대장!$F:$F=D106)*(입출고대장!$I:$I&lt;&gt;""), ""))))</f>
        <v>Ch.Angelus</v>
      </c>
    </row>
    <row r="107" spans="1:9" ht="17.25" x14ac:dyDescent="0.3">
      <c r="A107" s="20" t="str">
        <v>프랑스</v>
      </c>
      <c r="B107" s="21" t="str">
        <v>샤또 앙젤루스</v>
      </c>
      <c r="C107" s="21">
        <v>2005</v>
      </c>
      <c r="D107" s="21" t="str">
        <v>15번랙</v>
      </c>
      <c r="E107" s="22">
        <v>6</v>
      </c>
      <c r="F107" s="22">
        <v>0</v>
      </c>
      <c r="G107" s="22">
        <v>6</v>
      </c>
      <c r="H107" s="21" t="str">
        <v>정상</v>
      </c>
      <c r="I107" s="23" t="str" cm="1">
        <f t="array" ref="I107">IF(B107="", "", _xlfn.TEXTJOIN(", ", TRUE, _xlfn.UNIQUE(_xlfn._xlws.FILTER(입출고대장!$I:$I, (입출고대장!$D:$D=B107)*(입출고대장!$E:$E=C107)*(입출고대장!$F:$F=D107)*(입출고대장!$I:$I&lt;&gt;""), ""))))</f>
        <v>Ch.Angelus</v>
      </c>
    </row>
    <row r="108" spans="1:9" ht="17.25" x14ac:dyDescent="0.3">
      <c r="A108" s="20" t="str">
        <v>프랑스</v>
      </c>
      <c r="B108" s="21" t="str">
        <v>프랑수아 까리용 퓔리니 몽라셰</v>
      </c>
      <c r="C108" s="21">
        <v>2020</v>
      </c>
      <c r="D108" s="21" t="str">
        <v>15번랙</v>
      </c>
      <c r="E108" s="22">
        <v>2</v>
      </c>
      <c r="F108" s="22">
        <v>0</v>
      </c>
      <c r="G108" s="22">
        <v>2</v>
      </c>
      <c r="H108" s="21" t="str">
        <v>정상</v>
      </c>
      <c r="I108" s="23" t="str" cm="1">
        <f t="array" ref="I108">IF(B108="", "", _xlfn.TEXTJOIN(", ", TRUE, _xlfn.UNIQUE(_xlfn._xlws.FILTER(입출고대장!$I:$I, (입출고대장!$D:$D=B108)*(입출고대장!$E:$E=C108)*(입출고대장!$F:$F=D108)*(입출고대장!$I:$I&lt;&gt;""), ""))))</f>
        <v>Carillon Francois Puligny Montrachet</v>
      </c>
    </row>
    <row r="109" spans="1:9" ht="17.25" x14ac:dyDescent="0.3">
      <c r="A109" s="20" t="str">
        <v>포르투갈</v>
      </c>
      <c r="B109" s="21" t="str">
        <v>테일러스 빈티지 포트</v>
      </c>
      <c r="C109" s="21">
        <v>1964</v>
      </c>
      <c r="D109" s="21" t="str">
        <v>16번랙</v>
      </c>
      <c r="E109" s="22">
        <v>6</v>
      </c>
      <c r="F109" s="22">
        <v>0</v>
      </c>
      <c r="G109" s="22">
        <v>6</v>
      </c>
      <c r="H109" s="21" t="str">
        <v>정상</v>
      </c>
      <c r="I109" s="23" t="str" cm="1">
        <f t="array" ref="I109">IF(B109="", "", _xlfn.TEXTJOIN(", ", TRUE, _xlfn.UNIQUE(_xlfn._xlws.FILTER(입출고대장!$I:$I, (입출고대장!$D:$D=B109)*(입출고대장!$E:$E=C109)*(입출고대장!$F:$F=D109)*(입출고대장!$I:$I&lt;&gt;""), ""))))</f>
        <v>Taylor's Vintage Port</v>
      </c>
    </row>
    <row r="110" spans="1:9" ht="17.25" x14ac:dyDescent="0.3">
      <c r="A110" s="20" t="str">
        <v>포르투갈</v>
      </c>
      <c r="B110" s="21" t="str">
        <v>테일러스 빈티지 포트</v>
      </c>
      <c r="C110" s="21">
        <v>1966</v>
      </c>
      <c r="D110" s="21" t="str">
        <v>16번랙</v>
      </c>
      <c r="E110" s="22">
        <v>6</v>
      </c>
      <c r="F110" s="22">
        <v>0</v>
      </c>
      <c r="G110" s="22">
        <v>6</v>
      </c>
      <c r="H110" s="21" t="str">
        <v>정상</v>
      </c>
      <c r="I110" s="23" t="str" cm="1">
        <f t="array" ref="I110">IF(B110="", "", _xlfn.TEXTJOIN(", ", TRUE, _xlfn.UNIQUE(_xlfn._xlws.FILTER(입출고대장!$I:$I, (입출고대장!$D:$D=B110)*(입출고대장!$E:$E=C110)*(입출고대장!$F:$F=D110)*(입출고대장!$I:$I&lt;&gt;""), ""))))</f>
        <v>Taylor's Vintage Port</v>
      </c>
    </row>
    <row r="111" spans="1:9" ht="17.25" x14ac:dyDescent="0.3">
      <c r="A111" s="20" t="str">
        <v>프랑스</v>
      </c>
      <c r="B111" s="21" t="str">
        <v>볼랭저 그랑아네 1500ml</v>
      </c>
      <c r="C111" s="21">
        <v>2000</v>
      </c>
      <c r="D111" s="21" t="str">
        <v>16번랙</v>
      </c>
      <c r="E111" s="22">
        <v>21</v>
      </c>
      <c r="F111" s="22">
        <v>0</v>
      </c>
      <c r="G111" s="22">
        <v>21</v>
      </c>
      <c r="H111" s="21" t="str">
        <v>정상</v>
      </c>
      <c r="I111" s="23" t="str" cm="1">
        <f t="array" ref="I111">IF(B111="", "", _xlfn.TEXTJOIN(", ", TRUE, _xlfn.UNIQUE(_xlfn._xlws.FILTER(입출고대장!$I:$I, (입출고대장!$D:$D=B111)*(입출고대장!$E:$E=C111)*(입출고대장!$F:$F=D111)*(입출고대장!$I:$I&lt;&gt;""), ""))))</f>
        <v>매그넘 (Bollinger Grande Annee)</v>
      </c>
    </row>
    <row r="112" spans="1:9" ht="17.25" x14ac:dyDescent="0.3">
      <c r="A112" s="20" t="str">
        <v>이탈리아</v>
      </c>
      <c r="B112" s="21" t="str">
        <v>가야, 브루넬로 디 몬탈치노 수가릴레</v>
      </c>
      <c r="C112" s="21">
        <v>2010</v>
      </c>
      <c r="D112" s="21" t="str">
        <v>17번랙</v>
      </c>
      <c r="E112" s="22">
        <v>6</v>
      </c>
      <c r="F112" s="22">
        <v>0</v>
      </c>
      <c r="G112" s="22">
        <v>6</v>
      </c>
      <c r="H112" s="21" t="str">
        <v>정상</v>
      </c>
      <c r="I112" s="23" t="str" cm="1">
        <f t="array" ref="I112">IF(B112="", "", _xlfn.TEXTJOIN(", ", TRUE, _xlfn.UNIQUE(_xlfn._xlws.FILTER(입출고대장!$I:$I, (입출고대장!$D:$D=B112)*(입출고대장!$E:$E=C112)*(입출고대장!$F:$F=D112)*(입출고대장!$I:$I&lt;&gt;""), ""))))</f>
        <v>Gaja BDM Sugarille</v>
      </c>
    </row>
    <row r="113" spans="1:9" ht="17.25" x14ac:dyDescent="0.3">
      <c r="A113" s="20" t="str">
        <v>이탈리아</v>
      </c>
      <c r="B113" s="21" t="str">
        <v>가야, 스페르스</v>
      </c>
      <c r="C113" s="21">
        <v>2001</v>
      </c>
      <c r="D113" s="21" t="str">
        <v>17번랙</v>
      </c>
      <c r="E113" s="22">
        <v>6</v>
      </c>
      <c r="F113" s="22">
        <v>0</v>
      </c>
      <c r="G113" s="22">
        <v>6</v>
      </c>
      <c r="H113" s="21" t="str">
        <v>정상</v>
      </c>
      <c r="I113" s="23" t="str" cm="1">
        <f t="array" ref="I113">IF(B113="", "", _xlfn.TEXTJOIN(", ", TRUE, _xlfn.UNIQUE(_xlfn._xlws.FILTER(입출고대장!$I:$I, (입출고대장!$D:$D=B113)*(입출고대장!$E:$E=C113)*(입출고대장!$F:$F=D113)*(입출고대장!$I:$I&lt;&gt;""), ""))))</f>
        <v>Gaja Sperss</v>
      </c>
    </row>
    <row r="114" spans="1:9" ht="17.25" x14ac:dyDescent="0.3">
      <c r="A114" s="20" t="str">
        <v>이탈리아</v>
      </c>
      <c r="B114" s="21" t="str">
        <v>사시까이아</v>
      </c>
      <c r="C114" s="21">
        <v>2006</v>
      </c>
      <c r="D114" s="21" t="str">
        <v>17번랙</v>
      </c>
      <c r="E114" s="22">
        <v>11</v>
      </c>
      <c r="F114" s="22">
        <v>0</v>
      </c>
      <c r="G114" s="22">
        <v>11</v>
      </c>
      <c r="H114" s="21" t="str">
        <v>정상</v>
      </c>
      <c r="I114" s="23" t="str" cm="1">
        <f t="array" ref="I114">IF(B114="", "", _xlfn.TEXTJOIN(", ", TRUE, _xlfn.UNIQUE(_xlfn._xlws.FILTER(입출고대장!$I:$I, (입출고대장!$D:$D=B114)*(입출고대장!$E:$E=C114)*(입출고대장!$F:$F=D114)*(입출고대장!$I:$I&lt;&gt;""), ""))))</f>
        <v/>
      </c>
    </row>
    <row r="115" spans="1:9" ht="17.25" x14ac:dyDescent="0.3">
      <c r="A115" s="20" t="str">
        <v>이탈리아</v>
      </c>
      <c r="B115" s="21" t="str">
        <v>사시까이아</v>
      </c>
      <c r="C115" s="21">
        <v>2010</v>
      </c>
      <c r="D115" s="21" t="str">
        <v>17번랙</v>
      </c>
      <c r="E115" s="22">
        <v>12</v>
      </c>
      <c r="F115" s="22">
        <v>0</v>
      </c>
      <c r="G115" s="22">
        <v>12</v>
      </c>
      <c r="H115" s="21" t="str">
        <v>정상</v>
      </c>
      <c r="I115" s="23" t="str" cm="1">
        <f t="array" ref="I115">IF(B115="", "", _xlfn.TEXTJOIN(", ", TRUE, _xlfn.UNIQUE(_xlfn._xlws.FILTER(입출고대장!$I:$I, (입출고대장!$D:$D=B115)*(입출고대장!$E:$E=C115)*(입출고대장!$F:$F=D115)*(입출고대장!$I:$I&lt;&gt;""), ""))))</f>
        <v/>
      </c>
    </row>
    <row r="116" spans="1:9" ht="17.25" x14ac:dyDescent="0.3">
      <c r="A116" s="20" t="str">
        <v>이탈리아</v>
      </c>
      <c r="B116" s="21" t="str">
        <v>사시까이아</v>
      </c>
      <c r="C116" s="21">
        <v>2014</v>
      </c>
      <c r="D116" s="21" t="str">
        <v>17번랙</v>
      </c>
      <c r="E116" s="22">
        <v>5</v>
      </c>
      <c r="F116" s="22">
        <v>0</v>
      </c>
      <c r="G116" s="22">
        <v>5</v>
      </c>
      <c r="H116" s="21" t="str">
        <v>정상</v>
      </c>
      <c r="I116" s="23" t="str" cm="1">
        <f t="array" ref="I116">IF(B116="", "", _xlfn.TEXTJOIN(", ", TRUE, _xlfn.UNIQUE(_xlfn._xlws.FILTER(입출고대장!$I:$I, (입출고대장!$D:$D=B116)*(입출고대장!$E:$E=C116)*(입출고대장!$F:$F=D116)*(입출고대장!$I:$I&lt;&gt;""), ""))))</f>
        <v/>
      </c>
    </row>
    <row r="117" spans="1:9" ht="17.25" x14ac:dyDescent="0.3">
      <c r="A117" s="20" t="str">
        <v>이탈리아</v>
      </c>
      <c r="B117" s="21" t="str">
        <v>사시까이아 6L</v>
      </c>
      <c r="C117" s="21">
        <v>2015</v>
      </c>
      <c r="D117" s="21" t="str">
        <v>17번랙</v>
      </c>
      <c r="E117" s="22">
        <v>1</v>
      </c>
      <c r="F117" s="22">
        <v>0</v>
      </c>
      <c r="G117" s="22">
        <v>1</v>
      </c>
      <c r="H117" s="21" t="str">
        <v>정상</v>
      </c>
      <c r="I117" s="23" t="str" cm="1">
        <f t="array" ref="I117">IF(B117="", "", _xlfn.TEXTJOIN(", ", TRUE, _xlfn.UNIQUE(_xlfn._xlws.FILTER(입출고대장!$I:$I, (입출고대장!$D:$D=B117)*(입출고대장!$E:$E=C117)*(입출고대장!$F:$F=D117)*(입출고대장!$I:$I&lt;&gt;""), ""))))</f>
        <v>임페리얼 6L</v>
      </c>
    </row>
    <row r="118" spans="1:9" ht="17.25" x14ac:dyDescent="0.3">
      <c r="A118" s="20" t="str">
        <v>이탈리아</v>
      </c>
      <c r="B118" s="21" t="str">
        <v>VINO BIANCO</v>
      </c>
      <c r="C118" s="21">
        <v>2011</v>
      </c>
      <c r="D118" s="21" t="str">
        <v>18번랙</v>
      </c>
      <c r="E118" s="22">
        <v>6</v>
      </c>
      <c r="F118" s="22">
        <v>0</v>
      </c>
      <c r="G118" s="22">
        <v>6</v>
      </c>
      <c r="H118" s="21" t="str">
        <v>정상</v>
      </c>
      <c r="I118" s="23" t="str" cm="1">
        <f t="array" ref="I118">IF(B118="", "", _xlfn.TEXTJOIN(", ", TRUE, _xlfn.UNIQUE(_xlfn._xlws.FILTER(입출고대장!$I:$I, (입출고대장!$D:$D=B118)*(입출고대장!$E:$E=C118)*(입출고대장!$F:$F=D118)*(입출고대장!$I:$I&lt;&gt;""), ""))))</f>
        <v>1박스 (6병 기준)</v>
      </c>
    </row>
    <row r="119" spans="1:9" ht="17.25" x14ac:dyDescent="0.3">
      <c r="A119" s="20" t="str">
        <v>이탈리아</v>
      </c>
      <c r="B119" s="21" t="str">
        <v>VINO ROSSO</v>
      </c>
      <c r="C119" s="21">
        <v>2009</v>
      </c>
      <c r="D119" s="21" t="str">
        <v>18번랙</v>
      </c>
      <c r="E119" s="22">
        <v>6</v>
      </c>
      <c r="F119" s="22">
        <v>0</v>
      </c>
      <c r="G119" s="22">
        <v>6</v>
      </c>
      <c r="H119" s="21" t="str">
        <v>정상</v>
      </c>
      <c r="I119" s="23" t="str" cm="1">
        <f t="array" ref="I119">IF(B119="", "", _xlfn.TEXTJOIN(", ", TRUE, _xlfn.UNIQUE(_xlfn._xlws.FILTER(입출고대장!$I:$I, (입출고대장!$D:$D=B119)*(입출고대장!$E:$E=C119)*(입출고대장!$F:$F=D119)*(입출고대장!$I:$I&lt;&gt;""), ""))))</f>
        <v>1박스 (6병 기준)</v>
      </c>
    </row>
    <row r="120" spans="1:9" ht="17.25" x14ac:dyDescent="0.3">
      <c r="A120" s="20" t="str">
        <v>이탈리아</v>
      </c>
      <c r="B120" s="21" t="str">
        <v>VINO ROSSO</v>
      </c>
      <c r="C120" s="21">
        <v>2010</v>
      </c>
      <c r="D120" s="21" t="str">
        <v>18번랙</v>
      </c>
      <c r="E120" s="22">
        <v>6</v>
      </c>
      <c r="F120" s="22">
        <v>0</v>
      </c>
      <c r="G120" s="22">
        <v>6</v>
      </c>
      <c r="H120" s="21" t="str">
        <v>정상</v>
      </c>
      <c r="I120" s="23" t="str" cm="1">
        <f t="array" ref="I120">IF(B120="", "", _xlfn.TEXTJOIN(", ", TRUE, _xlfn.UNIQUE(_xlfn._xlws.FILTER(입출고대장!$I:$I, (입출고대장!$D:$D=B120)*(입출고대장!$E:$E=C120)*(입출고대장!$F:$F=D120)*(입출고대장!$I:$I&lt;&gt;""), ""))))</f>
        <v>1박스 (6병 기준)</v>
      </c>
    </row>
    <row r="121" spans="1:9" ht="17.25" x14ac:dyDescent="0.3">
      <c r="A121" s="20" t="str">
        <v>이탈리아</v>
      </c>
      <c r="B121" s="21" t="str">
        <v>가야 나무 박스</v>
      </c>
      <c r="C121" s="21" t="str">
        <v>NV</v>
      </c>
      <c r="D121" s="21" t="str">
        <v>18번랙</v>
      </c>
      <c r="E121" s="22">
        <v>12</v>
      </c>
      <c r="F121" s="22">
        <v>0</v>
      </c>
      <c r="G121" s="22">
        <v>12</v>
      </c>
      <c r="H121" s="21" t="str">
        <v>정상</v>
      </c>
      <c r="I121" s="23" t="str" cm="1">
        <f t="array" ref="I121">IF(B121="", "", _xlfn.TEXTJOIN(", ", TRUE, _xlfn.UNIQUE(_xlfn._xlws.FILTER(입출고대장!$I:$I, (입출고대장!$D:$D=B121)*(입출고대장!$E:$E=C121)*(입출고대장!$F:$F=D121)*(입출고대장!$I:$I&lt;&gt;""), ""))))</f>
        <v>Gaja Wood Box</v>
      </c>
    </row>
    <row r="122" spans="1:9" ht="17.25" x14ac:dyDescent="0.3">
      <c r="A122" s="20" t="str">
        <v>이탈리아</v>
      </c>
      <c r="B122" s="21" t="str">
        <v>가야, 스페르스</v>
      </c>
      <c r="C122" s="21">
        <v>1997</v>
      </c>
      <c r="D122" s="21" t="str">
        <v>19번랙</v>
      </c>
      <c r="E122" s="22">
        <v>6</v>
      </c>
      <c r="F122" s="22">
        <v>0</v>
      </c>
      <c r="G122" s="22">
        <v>6</v>
      </c>
      <c r="H122" s="21" t="str">
        <v>정상</v>
      </c>
      <c r="I122" s="23" t="str" cm="1">
        <f t="array" ref="I122">IF(B122="", "", _xlfn.TEXTJOIN(", ", TRUE, _xlfn.UNIQUE(_xlfn._xlws.FILTER(입출고대장!$I:$I, (입출고대장!$D:$D=B122)*(입출고대장!$E:$E=C122)*(입출고대장!$F:$F=D122)*(입출고대장!$I:$I&lt;&gt;""), ""))))</f>
        <v>Gaja Sperss</v>
      </c>
    </row>
    <row r="123" spans="1:9" ht="17.25" x14ac:dyDescent="0.3">
      <c r="A123" s="20" t="str">
        <v>이탈리아</v>
      </c>
      <c r="B123" s="21" t="str">
        <v>가야, 스페르스</v>
      </c>
      <c r="C123" s="21">
        <v>2004</v>
      </c>
      <c r="D123" s="21" t="str">
        <v>19번랙</v>
      </c>
      <c r="E123" s="22">
        <v>2</v>
      </c>
      <c r="F123" s="22">
        <v>0</v>
      </c>
      <c r="G123" s="22">
        <v>2</v>
      </c>
      <c r="H123" s="21" t="str">
        <v>정상</v>
      </c>
      <c r="I123" s="23" t="str" cm="1">
        <f t="array" ref="I123">IF(B123="", "", _xlfn.TEXTJOIN(", ", TRUE, _xlfn.UNIQUE(_xlfn._xlws.FILTER(입출고대장!$I:$I, (입출고대장!$D:$D=B123)*(입출고대장!$E:$E=C123)*(입출고대장!$F:$F=D123)*(입출고대장!$I:$I&lt;&gt;""), ""))))</f>
        <v>Gaja Sperss</v>
      </c>
    </row>
    <row r="124" spans="1:9" ht="17.25" x14ac:dyDescent="0.3">
      <c r="A124" s="20" t="str">
        <v>이탈리아</v>
      </c>
      <c r="B124" s="21" t="str">
        <v>가야, 스페르스</v>
      </c>
      <c r="C124" s="21">
        <v>2011</v>
      </c>
      <c r="D124" s="21" t="str">
        <v>19번랙</v>
      </c>
      <c r="E124" s="22">
        <v>2</v>
      </c>
      <c r="F124" s="22">
        <v>0</v>
      </c>
      <c r="G124" s="22">
        <v>2</v>
      </c>
      <c r="H124" s="21" t="str">
        <v>정상</v>
      </c>
      <c r="I124" s="23" t="str" cm="1">
        <f t="array" ref="I124">IF(B124="", "", _xlfn.TEXTJOIN(", ", TRUE, _xlfn.UNIQUE(_xlfn._xlws.FILTER(입출고대장!$I:$I, (입출고대장!$D:$D=B124)*(입출고대장!$E:$E=C124)*(입출고대장!$F:$F=D124)*(입출고대장!$I:$I&lt;&gt;""), ""))))</f>
        <v>Gaja Sperss</v>
      </c>
    </row>
    <row r="125" spans="1:9" ht="17.25" x14ac:dyDescent="0.3">
      <c r="A125" s="20" t="str">
        <v>이탈리아</v>
      </c>
      <c r="B125" s="21" t="str">
        <v>가야, 스페르스</v>
      </c>
      <c r="C125" s="21">
        <v>2013</v>
      </c>
      <c r="D125" s="21" t="str">
        <v>19번랙</v>
      </c>
      <c r="E125" s="22">
        <v>2</v>
      </c>
      <c r="F125" s="22">
        <v>0</v>
      </c>
      <c r="G125" s="22">
        <v>2</v>
      </c>
      <c r="H125" s="21" t="str">
        <v>정상</v>
      </c>
      <c r="I125" s="23" t="str" cm="1">
        <f t="array" ref="I125">IF(B125="", "", _xlfn.TEXTJOIN(", ", TRUE, _xlfn.UNIQUE(_xlfn._xlws.FILTER(입출고대장!$I:$I, (입출고대장!$D:$D=B125)*(입출고대장!$E:$E=C125)*(입출고대장!$F:$F=D125)*(입출고대장!$I:$I&lt;&gt;""), ""))))</f>
        <v>Gaja Sperss</v>
      </c>
    </row>
    <row r="126" spans="1:9" ht="17.25" x14ac:dyDescent="0.3">
      <c r="A126" s="20" t="str">
        <v>이탈리아</v>
      </c>
      <c r="B126" s="21" t="str">
        <v>고르고나 Gorgona</v>
      </c>
      <c r="C126" s="21">
        <v>2014</v>
      </c>
      <c r="D126" s="21" t="str">
        <v>19번랙</v>
      </c>
      <c r="E126" s="22">
        <v>6</v>
      </c>
      <c r="F126" s="22">
        <v>0</v>
      </c>
      <c r="G126" s="22">
        <v>6</v>
      </c>
      <c r="H126" s="21" t="str">
        <v>정상</v>
      </c>
      <c r="I126" s="23" t="str" cm="1">
        <f t="array" ref="I126">IF(B126="", "", _xlfn.TEXTJOIN(", ", TRUE, _xlfn.UNIQUE(_xlfn._xlws.FILTER(입출고대장!$I:$I, (입출고대장!$D:$D=B126)*(입출고대장!$E:$E=C126)*(입출고대장!$F:$F=D126)*(입출고대장!$I:$I&lt;&gt;""), ""))))</f>
        <v/>
      </c>
    </row>
    <row r="127" spans="1:9" ht="17.25" x14ac:dyDescent="0.3">
      <c r="A127" s="20" t="str">
        <v>프랑스</v>
      </c>
      <c r="B127" s="21" t="str">
        <v>메종 로슈 드 벨렌 퓔리니 몽라셰 1등급 레 폴라티에르</v>
      </c>
      <c r="C127" s="21">
        <v>2017</v>
      </c>
      <c r="D127" s="21" t="str">
        <v>19번랙</v>
      </c>
      <c r="E127" s="22">
        <v>6</v>
      </c>
      <c r="F127" s="22">
        <v>0</v>
      </c>
      <c r="G127" s="22">
        <v>6</v>
      </c>
      <c r="H127" s="21" t="str">
        <v>정상</v>
      </c>
      <c r="I127" s="23" t="str" cm="1">
        <f t="array" ref="I127">IF(B127="", "", _xlfn.TEXTJOIN(", ", TRUE, _xlfn.UNIQUE(_xlfn._xlws.FILTER(입출고대장!$I:$I, (입출고대장!$D:$D=B127)*(입출고대장!$E:$E=C127)*(입출고대장!$F:$F=D127)*(입출고대장!$I:$I&lt;&gt;""), ""))))</f>
        <v>나무박스</v>
      </c>
    </row>
    <row r="128" spans="1:9" ht="17.25" x14ac:dyDescent="0.3">
      <c r="A128" s="20" t="str">
        <v>프랑스</v>
      </c>
      <c r="B128" s="21" t="str">
        <v>샤또 디켐</v>
      </c>
      <c r="C128" s="21">
        <v>2005</v>
      </c>
      <c r="D128" s="21" t="str">
        <v>19번랙</v>
      </c>
      <c r="E128" s="22">
        <v>1</v>
      </c>
      <c r="F128" s="22">
        <v>0</v>
      </c>
      <c r="G128" s="22">
        <v>1</v>
      </c>
      <c r="H128" s="21" t="str">
        <v>정상</v>
      </c>
      <c r="I128" s="23" t="str" cm="1">
        <f t="array" ref="I128">IF(B128="", "", _xlfn.TEXTJOIN(", ", TRUE, _xlfn.UNIQUE(_xlfn._xlws.FILTER(입출고대장!$I:$I, (입출고대장!$D:$D=B128)*(입출고대장!$E:$E=C128)*(입출고대장!$F:$F=D128)*(입출고대장!$I:$I&lt;&gt;""), ""))))</f>
        <v>Ch.d'yquem</v>
      </c>
    </row>
    <row r="129" spans="1:9" ht="17.25" x14ac:dyDescent="0.3">
      <c r="A129" s="20" t="str">
        <v>프랑스</v>
      </c>
      <c r="B129" s="21" t="str">
        <v>샤또 라피트 로칠드</v>
      </c>
      <c r="C129" s="21">
        <v>1999</v>
      </c>
      <c r="D129" s="21" t="str">
        <v>19번랙</v>
      </c>
      <c r="E129" s="22">
        <v>6</v>
      </c>
      <c r="F129" s="22">
        <v>0</v>
      </c>
      <c r="G129" s="22">
        <v>6</v>
      </c>
      <c r="H129" s="21" t="str">
        <v>정상</v>
      </c>
      <c r="I129" s="23" t="str" cm="1">
        <f t="array" ref="I129">IF(B129="", "", _xlfn.TEXTJOIN(", ", TRUE, _xlfn.UNIQUE(_xlfn._xlws.FILTER(입출고대장!$I:$I, (입출고대장!$D:$D=B129)*(입출고대장!$E:$E=C129)*(입출고대장!$F:$F=D129)*(입출고대장!$I:$I&lt;&gt;""), ""))))</f>
        <v>Ch.Lafite Rothschild</v>
      </c>
    </row>
    <row r="130" spans="1:9" ht="17.25" x14ac:dyDescent="0.3">
      <c r="A130" s="20" t="str">
        <v>프랑스</v>
      </c>
      <c r="B130" s="21" t="str">
        <v>샤또 마고</v>
      </c>
      <c r="C130" s="21">
        <v>1996</v>
      </c>
      <c r="D130" s="21" t="str">
        <v>19번랙</v>
      </c>
      <c r="E130" s="22">
        <v>3</v>
      </c>
      <c r="F130" s="22">
        <v>0</v>
      </c>
      <c r="G130" s="22">
        <v>3</v>
      </c>
      <c r="H130" s="21" t="str">
        <v>정상</v>
      </c>
      <c r="I130" s="23" t="str" cm="1">
        <f t="array" ref="I130">IF(B130="", "", _xlfn.TEXTJOIN(", ", TRUE, _xlfn.UNIQUE(_xlfn._xlws.FILTER(입출고대장!$I:$I, (입출고대장!$D:$D=B130)*(입출고대장!$E:$E=C130)*(입출고대장!$F:$F=D130)*(입출고대장!$I:$I&lt;&gt;""), ""))))</f>
        <v>Ch.Margaux</v>
      </c>
    </row>
    <row r="131" spans="1:9" ht="17.25" x14ac:dyDescent="0.3">
      <c r="A131" s="20" t="str">
        <v>프랑스</v>
      </c>
      <c r="B131" s="21" t="str">
        <v>샤또 마고</v>
      </c>
      <c r="C131" s="21">
        <v>2002</v>
      </c>
      <c r="D131" s="21" t="str">
        <v>19번랙</v>
      </c>
      <c r="E131" s="22">
        <v>1</v>
      </c>
      <c r="F131" s="22">
        <v>0</v>
      </c>
      <c r="G131" s="22">
        <v>1</v>
      </c>
      <c r="H131" s="21" t="str">
        <v>정상</v>
      </c>
      <c r="I131" s="23" t="str" cm="1">
        <f t="array" ref="I131">IF(B131="", "", _xlfn.TEXTJOIN(", ", TRUE, _xlfn.UNIQUE(_xlfn._xlws.FILTER(입출고대장!$I:$I, (입출고대장!$D:$D=B131)*(입출고대장!$E:$E=C131)*(입출고대장!$F:$F=D131)*(입출고대장!$I:$I&lt;&gt;""), ""))))</f>
        <v>Ch.Margaux</v>
      </c>
    </row>
    <row r="132" spans="1:9" ht="17.25" x14ac:dyDescent="0.3">
      <c r="A132" s="20" t="str">
        <v>프랑스</v>
      </c>
      <c r="B132" s="21" t="str">
        <v>샤또 무똥 로칠드</v>
      </c>
      <c r="C132" s="21">
        <v>2003</v>
      </c>
      <c r="D132" s="21" t="str">
        <v>19번랙</v>
      </c>
      <c r="E132" s="22">
        <v>8</v>
      </c>
      <c r="F132" s="22">
        <v>0</v>
      </c>
      <c r="G132" s="22">
        <v>8</v>
      </c>
      <c r="H132" s="21" t="str">
        <v>정상</v>
      </c>
      <c r="I132" s="23" t="str" cm="1">
        <f t="array" ref="I132">IF(B132="", "", _xlfn.TEXTJOIN(", ", TRUE, _xlfn.UNIQUE(_xlfn._xlws.FILTER(입출고대장!$I:$I, (입출고대장!$D:$D=B132)*(입출고대장!$E:$E=C132)*(입출고대장!$F:$F=D132)*(입출고대장!$I:$I&lt;&gt;""), ""))))</f>
        <v>Ch.Mouton Rothschild</v>
      </c>
    </row>
    <row r="133" spans="1:9" ht="17.25" x14ac:dyDescent="0.3">
      <c r="A133" s="20" t="str">
        <v>프랑스</v>
      </c>
      <c r="B133" s="21" t="str">
        <v>샤또 슈발 블랑</v>
      </c>
      <c r="C133" s="21">
        <v>2004</v>
      </c>
      <c r="D133" s="21" t="str">
        <v>19번랙</v>
      </c>
      <c r="E133" s="22">
        <v>1</v>
      </c>
      <c r="F133" s="22">
        <v>0</v>
      </c>
      <c r="G133" s="22">
        <v>1</v>
      </c>
      <c r="H133" s="21" t="str">
        <v>정상</v>
      </c>
      <c r="I133" s="23" t="str" cm="1">
        <f t="array" ref="I133">IF(B133="", "", _xlfn.TEXTJOIN(", ", TRUE, _xlfn.UNIQUE(_xlfn._xlws.FILTER(입출고대장!$I:$I, (입출고대장!$D:$D=B133)*(입출고대장!$E:$E=C133)*(입출고대장!$F:$F=D133)*(입출고대장!$I:$I&lt;&gt;""), ""))))</f>
        <v>Ch.Cheval Blanc</v>
      </c>
    </row>
    <row r="134" spans="1:9" ht="17.25" x14ac:dyDescent="0.3">
      <c r="A134" s="20" t="str">
        <v>프랑스</v>
      </c>
      <c r="B134" s="21" t="str">
        <v>샤또 오-브리옹</v>
      </c>
      <c r="C134" s="21">
        <v>2003</v>
      </c>
      <c r="D134" s="21" t="str">
        <v>19번랙</v>
      </c>
      <c r="E134" s="22">
        <v>5</v>
      </c>
      <c r="F134" s="22">
        <v>0</v>
      </c>
      <c r="G134" s="22">
        <v>5</v>
      </c>
      <c r="H134" s="21" t="str">
        <v>정상</v>
      </c>
      <c r="I134" s="23" t="str" cm="1">
        <f t="array" ref="I134">IF(B134="", "", _xlfn.TEXTJOIN(", ", TRUE, _xlfn.UNIQUE(_xlfn._xlws.FILTER(입출고대장!$I:$I, (입출고대장!$D:$D=B134)*(입출고대장!$E:$E=C134)*(입출고대장!$F:$F=D134)*(입출고대장!$I:$I&lt;&gt;""), ""))))</f>
        <v>Ch.Haut-Brion</v>
      </c>
    </row>
    <row r="135" spans="1:9" ht="17.25" x14ac:dyDescent="0.3">
      <c r="A135" s="20" t="str">
        <v>프랑스</v>
      </c>
      <c r="B135" s="21" t="str">
        <v>샤또 오-브리옹 블랑</v>
      </c>
      <c r="C135" s="21">
        <v>2006</v>
      </c>
      <c r="D135" s="21" t="str">
        <v>19번랙</v>
      </c>
      <c r="E135" s="22">
        <v>1</v>
      </c>
      <c r="F135" s="22">
        <v>0</v>
      </c>
      <c r="G135" s="22">
        <v>1</v>
      </c>
      <c r="H135" s="21" t="str">
        <v>정상</v>
      </c>
      <c r="I135" s="23" t="str" cm="1">
        <f t="array" ref="I135">IF(B135="", "", _xlfn.TEXTJOIN(", ", TRUE, _xlfn.UNIQUE(_xlfn._xlws.FILTER(입출고대장!$I:$I, (입출고대장!$D:$D=B135)*(입출고대장!$E:$E=C135)*(입출고대장!$F:$F=D135)*(입출고대장!$I:$I&lt;&gt;""), ""))))</f>
        <v>Ch.Haut-Brion Blanc</v>
      </c>
    </row>
    <row r="136" spans="1:9" ht="17.25" x14ac:dyDescent="0.3">
      <c r="A136" s="20" t="str">
        <v>프랑스</v>
      </c>
      <c r="B136" s="21" t="str">
        <v>샤또 오존</v>
      </c>
      <c r="C136" s="21">
        <v>2006</v>
      </c>
      <c r="D136" s="21" t="str">
        <v>19번랙</v>
      </c>
      <c r="E136" s="22">
        <v>1</v>
      </c>
      <c r="F136" s="22">
        <v>0</v>
      </c>
      <c r="G136" s="22">
        <v>1</v>
      </c>
      <c r="H136" s="21" t="str">
        <v>정상</v>
      </c>
      <c r="I136" s="23" t="str" cm="1">
        <f t="array" ref="I136">IF(B136="", "", _xlfn.TEXTJOIN(", ", TRUE, _xlfn.UNIQUE(_xlfn._xlws.FILTER(입출고대장!$I:$I, (입출고대장!$D:$D=B136)*(입출고대장!$E:$E=C136)*(입출고대장!$F:$F=D136)*(입출고대장!$I:$I&lt;&gt;""), ""))))</f>
        <v>Ch.Ausone</v>
      </c>
    </row>
    <row r="137" spans="1:9" ht="17.25" x14ac:dyDescent="0.3">
      <c r="A137" s="20" t="str">
        <v>프랑스</v>
      </c>
      <c r="B137" s="21" t="str">
        <v>샤또 오존</v>
      </c>
      <c r="C137" s="21">
        <v>2008</v>
      </c>
      <c r="D137" s="21" t="str">
        <v>19번랙</v>
      </c>
      <c r="E137" s="22">
        <v>1</v>
      </c>
      <c r="F137" s="22">
        <v>0</v>
      </c>
      <c r="G137" s="22">
        <v>1</v>
      </c>
      <c r="H137" s="21" t="str">
        <v>정상</v>
      </c>
      <c r="I137" s="23" t="str" cm="1">
        <f t="array" ref="I137">IF(B137="", "", _xlfn.TEXTJOIN(", ", TRUE, _xlfn.UNIQUE(_xlfn._xlws.FILTER(입출고대장!$I:$I, (입출고대장!$D:$D=B137)*(입출고대장!$E:$E=C137)*(입출고대장!$F:$F=D137)*(입출고대장!$I:$I&lt;&gt;""), ""))))</f>
        <v>Ch.Ausone</v>
      </c>
    </row>
    <row r="138" spans="1:9" ht="17.25" x14ac:dyDescent="0.3">
      <c r="A138" s="20" t="str">
        <v>프랑스</v>
      </c>
      <c r="B138" s="21" t="str">
        <v>샤또 페트뤼스</v>
      </c>
      <c r="C138" s="21">
        <v>2006</v>
      </c>
      <c r="D138" s="21" t="str">
        <v>19번랙</v>
      </c>
      <c r="E138" s="22">
        <v>3</v>
      </c>
      <c r="F138" s="22">
        <v>0</v>
      </c>
      <c r="G138" s="22">
        <v>3</v>
      </c>
      <c r="H138" s="21" t="str">
        <v>정상</v>
      </c>
      <c r="I138" s="23" t="str" cm="1">
        <f t="array" ref="I138">IF(B138="", "", _xlfn.TEXTJOIN(", ", TRUE, _xlfn.UNIQUE(_xlfn._xlws.FILTER(입출고대장!$I:$I, (입출고대장!$D:$D=B138)*(입출고대장!$E:$E=C138)*(입출고대장!$F:$F=D138)*(입출고대장!$I:$I&lt;&gt;""), ""))))</f>
        <v>Ch.Petrus</v>
      </c>
    </row>
    <row r="139" spans="1:9" ht="17.25" x14ac:dyDescent="0.3">
      <c r="A139" s="20" t="str">
        <v>프랑스</v>
      </c>
      <c r="B139" s="21" t="str">
        <v>샤또 꼬스 데 뚜르넬</v>
      </c>
      <c r="C139" s="21">
        <v>2006</v>
      </c>
      <c r="D139" s="21" t="str">
        <v>20번랙</v>
      </c>
      <c r="E139" s="22">
        <v>12</v>
      </c>
      <c r="F139" s="22">
        <v>0</v>
      </c>
      <c r="G139" s="22">
        <v>12</v>
      </c>
      <c r="H139" s="21" t="str">
        <v>정상</v>
      </c>
      <c r="I139" s="23" t="str" cm="1">
        <f t="array" ref="I139">IF(B139="", "", _xlfn.TEXTJOIN(", ", TRUE, _xlfn.UNIQUE(_xlfn._xlws.FILTER(입출고대장!$I:$I, (입출고대장!$D:$D=B139)*(입출고대장!$E:$E=C139)*(입출고대장!$F:$F=D139)*(입출고대장!$I:$I&lt;&gt;""), ""))))</f>
        <v>Ch.Cos d'estournel</v>
      </c>
    </row>
    <row r="140" spans="1:9" ht="17.25" x14ac:dyDescent="0.3">
      <c r="A140" s="20" t="str">
        <v>프랑스</v>
      </c>
      <c r="B140" s="21" t="str">
        <v>샤또 드 보까스텔, 샤또네프 뒤 빠쁘 루싼느 비에이유 비뉴</v>
      </c>
      <c r="C140" s="21">
        <v>2010</v>
      </c>
      <c r="D140" s="21" t="str">
        <v>20번랙</v>
      </c>
      <c r="E140" s="22">
        <v>6</v>
      </c>
      <c r="F140" s="22">
        <v>0</v>
      </c>
      <c r="G140" s="22">
        <v>6</v>
      </c>
      <c r="H140" s="21" t="str">
        <v>정상</v>
      </c>
      <c r="I140" s="23" t="str" cm="1">
        <f t="array" ref="I140">IF(B140="", "", _xlfn.TEXTJOIN(", ", TRUE, _xlfn.UNIQUE(_xlfn._xlws.FILTER(입출고대장!$I:$I, (입출고대장!$D:$D=B140)*(입출고대장!$E:$E=C140)*(입출고대장!$F:$F=D140)*(입출고대장!$I:$I&lt;&gt;""), ""))))</f>
        <v>Roussanne V.V</v>
      </c>
    </row>
    <row r="141" spans="1:9" ht="17.25" x14ac:dyDescent="0.3">
      <c r="A141" s="20" t="str">
        <v>프랑스</v>
      </c>
      <c r="B141" s="21" t="str">
        <v>샤또 드 보까스텔, 샤또네프 뒤 빠쁘 루즈</v>
      </c>
      <c r="C141" s="21">
        <v>2009</v>
      </c>
      <c r="D141" s="21" t="str">
        <v>20번랙</v>
      </c>
      <c r="E141" s="22">
        <v>6</v>
      </c>
      <c r="F141" s="22">
        <v>0</v>
      </c>
      <c r="G141" s="22">
        <v>6</v>
      </c>
      <c r="H141" s="21" t="str">
        <v>정상</v>
      </c>
      <c r="I141" s="23" t="str" cm="1">
        <f t="array" ref="I141">IF(B141="", "", _xlfn.TEXTJOIN(", ", TRUE, _xlfn.UNIQUE(_xlfn._xlws.FILTER(입출고대장!$I:$I, (입출고대장!$D:$D=B141)*(입출고대장!$E:$E=C141)*(입출고대장!$F:$F=D141)*(입출고대장!$I:$I&lt;&gt;""), ""))))</f>
        <v>Chateauneuf du Pape</v>
      </c>
    </row>
    <row r="142" spans="1:9" ht="17.25" x14ac:dyDescent="0.3">
      <c r="A142" s="20" t="str">
        <v>프랑스</v>
      </c>
      <c r="B142" s="21" t="str">
        <v>샤또 드 보까스텔, 샤또네프 뒤 빠쁘 루즈</v>
      </c>
      <c r="C142" s="21">
        <v>2010</v>
      </c>
      <c r="D142" s="21" t="str">
        <v>20번랙</v>
      </c>
      <c r="E142" s="22">
        <v>6</v>
      </c>
      <c r="F142" s="22">
        <v>0</v>
      </c>
      <c r="G142" s="22">
        <v>6</v>
      </c>
      <c r="H142" s="21" t="str">
        <v>정상</v>
      </c>
      <c r="I142" s="23" t="str" cm="1">
        <f t="array" ref="I142">IF(B142="", "", _xlfn.TEXTJOIN(", ", TRUE, _xlfn.UNIQUE(_xlfn._xlws.FILTER(입출고대장!$I:$I, (입출고대장!$D:$D=B142)*(입출고대장!$E:$E=C142)*(입출고대장!$F:$F=D142)*(입출고대장!$I:$I&lt;&gt;""), ""))))</f>
        <v>Chateauneuf du Pape</v>
      </c>
    </row>
    <row r="143" spans="1:9" ht="17.25" x14ac:dyDescent="0.3">
      <c r="A143" s="20" t="str">
        <v>프랑스</v>
      </c>
      <c r="B143" s="21" t="str">
        <v>샤또 드 보까스텔, 오마쥬 자크 페랑 루즈</v>
      </c>
      <c r="C143" s="21">
        <v>2007</v>
      </c>
      <c r="D143" s="21" t="str">
        <v>20번랙</v>
      </c>
      <c r="E143" s="22">
        <v>4</v>
      </c>
      <c r="F143" s="22">
        <v>0</v>
      </c>
      <c r="G143" s="22">
        <v>4</v>
      </c>
      <c r="H143" s="21" t="str">
        <v>정상</v>
      </c>
      <c r="I143" s="23" t="str" cm="1">
        <f t="array" ref="I143">IF(B143="", "", _xlfn.TEXTJOIN(", ", TRUE, _xlfn.UNIQUE(_xlfn._xlws.FILTER(입출고대장!$I:$I, (입출고대장!$D:$D=B143)*(입출고대장!$E:$E=C143)*(입출고대장!$F:$F=D143)*(입출고대장!$I:$I&lt;&gt;""), ""))))</f>
        <v>Hommage a Jacque Perrin</v>
      </c>
    </row>
    <row r="144" spans="1:9" ht="17.25" x14ac:dyDescent="0.3">
      <c r="A144" s="20" t="str">
        <v>프랑스</v>
      </c>
      <c r="B144" s="21" t="str">
        <v>샤또 드 보까스텔, 오마쥬 자크 페랑 루즈</v>
      </c>
      <c r="C144" s="21">
        <v>2011</v>
      </c>
      <c r="D144" s="21" t="str">
        <v>20번랙</v>
      </c>
      <c r="E144" s="22">
        <v>2</v>
      </c>
      <c r="F144" s="22">
        <v>0</v>
      </c>
      <c r="G144" s="22">
        <v>2</v>
      </c>
      <c r="H144" s="21" t="str">
        <v>정상</v>
      </c>
      <c r="I144" s="23" t="str" cm="1">
        <f t="array" ref="I144">IF(B144="", "", _xlfn.TEXTJOIN(", ", TRUE, _xlfn.UNIQUE(_xlfn._xlws.FILTER(입출고대장!$I:$I, (입출고대장!$D:$D=B144)*(입출고대장!$E:$E=C144)*(입출고대장!$F:$F=D144)*(입출고대장!$I:$I&lt;&gt;""), ""))))</f>
        <v>Hommage a Jacque Perrin</v>
      </c>
    </row>
    <row r="145" spans="1:9" ht="17.25" x14ac:dyDescent="0.3">
      <c r="A145" s="20" t="str">
        <v>프랑스</v>
      </c>
      <c r="B145" s="21" t="str">
        <v>샤또 디켐</v>
      </c>
      <c r="C145" s="21">
        <v>2006</v>
      </c>
      <c r="D145" s="21" t="str">
        <v>20번랙</v>
      </c>
      <c r="E145" s="22">
        <v>6</v>
      </c>
      <c r="F145" s="22">
        <v>0</v>
      </c>
      <c r="G145" s="22">
        <v>6</v>
      </c>
      <c r="H145" s="21" t="str">
        <v>정상</v>
      </c>
      <c r="I145" s="23" t="str" cm="1">
        <f t="array" ref="I145">IF(B145="", "", _xlfn.TEXTJOIN(", ", TRUE, _xlfn.UNIQUE(_xlfn._xlws.FILTER(입출고대장!$I:$I, (입출고대장!$D:$D=B145)*(입출고대장!$E:$E=C145)*(입출고대장!$F:$F=D145)*(입출고대장!$I:$I&lt;&gt;""), ""))))</f>
        <v>Ch.d'yquem</v>
      </c>
    </row>
    <row r="146" spans="1:9" ht="17.25" x14ac:dyDescent="0.3">
      <c r="A146" s="20" t="str">
        <v>프랑스</v>
      </c>
      <c r="B146" s="21" t="str">
        <v>샤또 뷰 샤또 세르땅</v>
      </c>
      <c r="C146" s="21">
        <v>2007</v>
      </c>
      <c r="D146" s="21" t="str">
        <v>20번랙</v>
      </c>
      <c r="E146" s="22">
        <v>6</v>
      </c>
      <c r="F146" s="22">
        <v>0</v>
      </c>
      <c r="G146" s="22">
        <v>6</v>
      </c>
      <c r="H146" s="21" t="str">
        <v>정상</v>
      </c>
      <c r="I146" s="23" t="str" cm="1">
        <f t="array" ref="I146">IF(B146="", "", _xlfn.TEXTJOIN(", ", TRUE, _xlfn.UNIQUE(_xlfn._xlws.FILTER(입출고대장!$I:$I, (입출고대장!$D:$D=B146)*(입출고대장!$E:$E=C146)*(입출고대장!$F:$F=D146)*(입출고대장!$I:$I&lt;&gt;""), ""))))</f>
        <v>Ch.Vieux Ch.Certan</v>
      </c>
    </row>
    <row r="147" spans="1:9" ht="17.25" x14ac:dyDescent="0.3">
      <c r="A147" s="20" t="str">
        <v>프랑스</v>
      </c>
      <c r="B147" s="21" t="str">
        <v>샤또 파비</v>
      </c>
      <c r="C147" s="21">
        <v>2004</v>
      </c>
      <c r="D147" s="21" t="str">
        <v>20번랙</v>
      </c>
      <c r="E147" s="22">
        <v>12</v>
      </c>
      <c r="F147" s="22">
        <v>0</v>
      </c>
      <c r="G147" s="22">
        <v>12</v>
      </c>
      <c r="H147" s="21" t="str">
        <v>정상</v>
      </c>
      <c r="I147" s="23" t="str" cm="1">
        <f t="array" ref="I147">IF(B147="", "", _xlfn.TEXTJOIN(", ", TRUE, _xlfn.UNIQUE(_xlfn._xlws.FILTER(입출고대장!$I:$I, (입출고대장!$D:$D=B147)*(입출고대장!$E:$E=C147)*(입출고대장!$F:$F=D147)*(입출고대장!$I:$I&lt;&gt;""), ""))))</f>
        <v>Ch.Pavie</v>
      </c>
    </row>
    <row r="148" spans="1:9" ht="17.25" x14ac:dyDescent="0.3">
      <c r="A148" s="20" t="str">
        <v>프랑스</v>
      </c>
      <c r="B148" s="21" t="str">
        <v>샤또 파비용 블랑</v>
      </c>
      <c r="C148" s="21">
        <v>2005</v>
      </c>
      <c r="D148" s="21" t="str">
        <v>20번랙</v>
      </c>
      <c r="E148" s="22">
        <v>6</v>
      </c>
      <c r="F148" s="22">
        <v>0</v>
      </c>
      <c r="G148" s="22">
        <v>6</v>
      </c>
      <c r="H148" s="21" t="str">
        <v>정상</v>
      </c>
      <c r="I148" s="23" t="str" cm="1">
        <f t="array" ref="I148">IF(B148="", "", _xlfn.TEXTJOIN(", ", TRUE, _xlfn.UNIQUE(_xlfn._xlws.FILTER(입출고대장!$I:$I, (입출고대장!$D:$D=B148)*(입출고대장!$E:$E=C148)*(입출고대장!$F:$F=D148)*(입출고대장!$I:$I&lt;&gt;""), ""))))</f>
        <v>Ch.Pavillon Blanc</v>
      </c>
    </row>
    <row r="149" spans="1:9" ht="17.25" x14ac:dyDescent="0.3">
      <c r="A149" s="20" t="str">
        <v>프랑스</v>
      </c>
      <c r="B149" s="21" t="str">
        <v>DRC 라 따쉬</v>
      </c>
      <c r="C149" s="21">
        <v>2017</v>
      </c>
      <c r="D149" s="21" t="str">
        <v>21번랙</v>
      </c>
      <c r="E149" s="22">
        <v>1</v>
      </c>
      <c r="F149" s="22">
        <v>0</v>
      </c>
      <c r="G149" s="22">
        <v>1</v>
      </c>
      <c r="H149" s="21" t="str">
        <v>정상</v>
      </c>
      <c r="I149" s="23" t="str" cm="1">
        <f t="array" ref="I149">IF(B149="", "", _xlfn.TEXTJOIN(", ", TRUE, _xlfn.UNIQUE(_xlfn._xlws.FILTER(입출고대장!$I:$I, (입출고대장!$D:$D=B149)*(입출고대장!$E:$E=C149)*(입출고대장!$F:$F=D149)*(입출고대장!$I:$I&lt;&gt;""), ""))))</f>
        <v>라 따쉬</v>
      </c>
    </row>
    <row r="150" spans="1:9" ht="17.25" x14ac:dyDescent="0.3">
      <c r="A150" s="20" t="str">
        <v>프랑스</v>
      </c>
      <c r="B150" s="21" t="str">
        <v>DRC, Corton</v>
      </c>
      <c r="C150" s="21">
        <v>2017</v>
      </c>
      <c r="D150" s="21" t="str">
        <v>21번랙</v>
      </c>
      <c r="E150" s="22">
        <v>1</v>
      </c>
      <c r="F150" s="22">
        <v>0</v>
      </c>
      <c r="G150" s="22">
        <v>1</v>
      </c>
      <c r="H150" s="21" t="str">
        <v>정상</v>
      </c>
      <c r="I150" s="23" t="str" cm="1">
        <f t="array" ref="I150">IF(B150="", "", _xlfn.TEXTJOIN(", ", TRUE, _xlfn.UNIQUE(_xlfn._xlws.FILTER(입출고대장!$I:$I, (입출고대장!$D:$D=B150)*(입출고대장!$E:$E=C150)*(입출고대장!$F:$F=D150)*(입출고대장!$I:$I&lt;&gt;""), ""))))</f>
        <v>꼬르똥</v>
      </c>
    </row>
    <row r="151" spans="1:9" ht="17.25" x14ac:dyDescent="0.3">
      <c r="A151" s="20" t="str">
        <v>프랑스</v>
      </c>
      <c r="B151" s="21" t="str">
        <v>DRC, Fine Bourgogne</v>
      </c>
      <c r="C151" s="21">
        <v>1991</v>
      </c>
      <c r="D151" s="21" t="str">
        <v>21번랙</v>
      </c>
      <c r="E151" s="22">
        <v>2</v>
      </c>
      <c r="F151" s="22">
        <v>0</v>
      </c>
      <c r="G151" s="22">
        <v>2</v>
      </c>
      <c r="H151" s="21" t="str">
        <v>정상</v>
      </c>
      <c r="I151" s="23" t="str" cm="1">
        <f t="array" ref="I151">IF(B151="", "", _xlfn.TEXTJOIN(", ", TRUE, _xlfn.UNIQUE(_xlfn._xlws.FILTER(입출고대장!$I:$I, (입출고대장!$D:$D=B151)*(입출고대장!$E:$E=C151)*(입출고대장!$F:$F=D151)*(입출고대장!$I:$I&lt;&gt;""), ""))))</f>
        <v>피네 부르고뉴 (화이트)</v>
      </c>
    </row>
    <row r="152" spans="1:9" ht="17.25" x14ac:dyDescent="0.3">
      <c r="A152" s="20" t="str">
        <v>프랑스</v>
      </c>
      <c r="B152" s="21" t="str">
        <v>DRC, Romanee st Vivant</v>
      </c>
      <c r="C152" s="21">
        <v>2017</v>
      </c>
      <c r="D152" s="21" t="str">
        <v>21번랙</v>
      </c>
      <c r="E152" s="22">
        <v>1</v>
      </c>
      <c r="F152" s="22">
        <v>0</v>
      </c>
      <c r="G152" s="22">
        <v>1</v>
      </c>
      <c r="H152" s="21" t="str">
        <v>정상</v>
      </c>
      <c r="I152" s="23" t="str" cm="1">
        <f t="array" ref="I152">IF(B152="", "", _xlfn.TEXTJOIN(", ", TRUE, _xlfn.UNIQUE(_xlfn._xlws.FILTER(입출고대장!$I:$I, (입출고대장!$D:$D=B152)*(입출고대장!$E:$E=C152)*(입출고대장!$F:$F=D152)*(입출고대장!$I:$I&lt;&gt;""), ""))))</f>
        <v>로마네 쌩 비방</v>
      </c>
    </row>
    <row r="153" spans="1:9" ht="17.25" x14ac:dyDescent="0.3">
      <c r="A153" s="20" t="str">
        <v>프랑스</v>
      </c>
      <c r="B153" s="21" t="str">
        <v>페블레, 꼬르똥 끌로 데 꼬르똥 그랑 크뤼 1500ml</v>
      </c>
      <c r="C153" s="21">
        <v>2010</v>
      </c>
      <c r="D153" s="21" t="str">
        <v>21번랙</v>
      </c>
      <c r="E153" s="22">
        <v>3</v>
      </c>
      <c r="F153" s="22">
        <v>0</v>
      </c>
      <c r="G153" s="22">
        <v>3</v>
      </c>
      <c r="H153" s="21" t="str">
        <v>정상</v>
      </c>
      <c r="I153" s="23" t="str" cm="1">
        <f t="array" ref="I153">IF(B153="", "", _xlfn.TEXTJOIN(", ", TRUE, _xlfn.UNIQUE(_xlfn._xlws.FILTER(입출고대장!$I:$I, (입출고대장!$D:$D=B153)*(입출고대장!$E:$E=C153)*(입출고대장!$F:$F=D153)*(입출고대장!$I:$I&lt;&gt;""), ""))))</f>
        <v>매그넘</v>
      </c>
    </row>
    <row r="154" spans="1:9" ht="17.25" x14ac:dyDescent="0.3">
      <c r="A154" s="20" t="str">
        <v>프랑스</v>
      </c>
      <c r="B154" s="21" t="str">
        <v>페블레, 뮈즈니 그랑 크뤼</v>
      </c>
      <c r="C154" s="21">
        <v>2019</v>
      </c>
      <c r="D154" s="21" t="str">
        <v>21번랙</v>
      </c>
      <c r="E154" s="22">
        <v>2</v>
      </c>
      <c r="F154" s="22">
        <v>0</v>
      </c>
      <c r="G154" s="22">
        <v>2</v>
      </c>
      <c r="H154" s="21" t="str">
        <v>정상</v>
      </c>
      <c r="I154" s="23" t="str" cm="1">
        <f t="array" ref="I154">IF(B154="", "", _xlfn.TEXTJOIN(", ", TRUE, _xlfn.UNIQUE(_xlfn._xlws.FILTER(입출고대장!$I:$I, (입출고대장!$D:$D=B154)*(입출고대장!$E:$E=C154)*(입출고대장!$F:$F=D154)*(입출고대장!$I:$I&lt;&gt;""), ""))))</f>
        <v>Faiveley Musigny G.C</v>
      </c>
    </row>
    <row r="155" spans="1:9" ht="17.25" x14ac:dyDescent="0.3">
      <c r="A155" s="20" t="str">
        <v>프랑스</v>
      </c>
      <c r="B155" s="21" t="str">
        <v>페블레, 뮈즈니 그랑 크뤼</v>
      </c>
      <c r="C155" s="21">
        <v>2021</v>
      </c>
      <c r="D155" s="21" t="str">
        <v>21번랙</v>
      </c>
      <c r="E155" s="22">
        <v>2</v>
      </c>
      <c r="F155" s="22">
        <v>0</v>
      </c>
      <c r="G155" s="22">
        <v>2</v>
      </c>
      <c r="H155" s="21" t="str">
        <v>정상</v>
      </c>
      <c r="I155" s="23" t="str" cm="1">
        <f t="array" ref="I155">IF(B155="", "", _xlfn.TEXTJOIN(", ", TRUE, _xlfn.UNIQUE(_xlfn._xlws.FILTER(입출고대장!$I:$I, (입출고대장!$D:$D=B155)*(입출고대장!$E:$E=C155)*(입출고대장!$F:$F=D155)*(입출고대장!$I:$I&lt;&gt;""), ""))))</f>
        <v>Faiveley Musigny G.C</v>
      </c>
    </row>
    <row r="156" spans="1:9" ht="17.25" x14ac:dyDescent="0.3">
      <c r="A156" s="20" t="str">
        <v>프랑스</v>
      </c>
      <c r="B156" s="21" t="str">
        <v>페블레, 뮈즈니 그랑 크뤼</v>
      </c>
      <c r="C156" s="21">
        <v>2022</v>
      </c>
      <c r="D156" s="21" t="str">
        <v>21번랙</v>
      </c>
      <c r="E156" s="22">
        <v>2</v>
      </c>
      <c r="F156" s="22">
        <v>0</v>
      </c>
      <c r="G156" s="22">
        <v>2</v>
      </c>
      <c r="H156" s="21" t="str">
        <v>정상</v>
      </c>
      <c r="I156" s="23" t="str" cm="1">
        <f t="array" ref="I156">IF(B156="", "", _xlfn.TEXTJOIN(", ", TRUE, _xlfn.UNIQUE(_xlfn._xlws.FILTER(입출고대장!$I:$I, (입출고대장!$D:$D=B156)*(입출고대장!$E:$E=C156)*(입출고대장!$F:$F=D156)*(입출고대장!$I:$I&lt;&gt;""), ""))))</f>
        <v>Faiveley Musigny G.C</v>
      </c>
    </row>
    <row r="157" spans="1:9" ht="17.25" x14ac:dyDescent="0.3">
      <c r="A157" s="20" t="str">
        <v>프랑스</v>
      </c>
      <c r="B157" s="21" t="str">
        <v>페블레, 에세죠 그랑 크뤼</v>
      </c>
      <c r="C157" s="21">
        <v>2011</v>
      </c>
      <c r="D157" s="21" t="str">
        <v>21번랙</v>
      </c>
      <c r="E157" s="22">
        <v>6</v>
      </c>
      <c r="F157" s="22">
        <v>0</v>
      </c>
      <c r="G157" s="22">
        <v>6</v>
      </c>
      <c r="H157" s="21" t="str">
        <v>정상</v>
      </c>
      <c r="I157" s="23" t="str" cm="1">
        <f t="array" ref="I157">IF(B157="", "", _xlfn.TEXTJOIN(", ", TRUE, _xlfn.UNIQUE(_xlfn._xlws.FILTER(입출고대장!$I:$I, (입출고대장!$D:$D=B157)*(입출고대장!$E:$E=C157)*(입출고대장!$F:$F=D157)*(입출고대장!$I:$I&lt;&gt;""), ""))))</f>
        <v>Faiveley Echezeaux G.C</v>
      </c>
    </row>
    <row r="158" spans="1:9" ht="17.25" x14ac:dyDescent="0.3">
      <c r="A158" s="20" t="str">
        <v>프랑스</v>
      </c>
      <c r="B158" s="21" t="str">
        <v>페블레,바타르 몽라쉐 그랑 크뤼</v>
      </c>
      <c r="C158" s="21">
        <v>2011</v>
      </c>
      <c r="D158" s="21" t="str">
        <v>21번랙</v>
      </c>
      <c r="E158" s="22">
        <v>6</v>
      </c>
      <c r="F158" s="22">
        <v>0</v>
      </c>
      <c r="G158" s="22">
        <v>6</v>
      </c>
      <c r="H158" s="21" t="str">
        <v>정상</v>
      </c>
      <c r="I158" s="23" t="str" cm="1">
        <f t="array" ref="I158">IF(B158="", "", _xlfn.TEXTJOIN(", ", TRUE, _xlfn.UNIQUE(_xlfn._xlws.FILTER(입출고대장!$I:$I, (입출고대장!$D:$D=B158)*(입출고대장!$E:$E=C158)*(입출고대장!$F:$F=D158)*(입출고대장!$I:$I&lt;&gt;""), ""))))</f>
        <v>Faiveley Batard Montrachet G.C</v>
      </c>
    </row>
    <row r="159" spans="1:9" ht="17.25" x14ac:dyDescent="0.3">
      <c r="A159" s="20" t="str">
        <v>프랑스</v>
      </c>
      <c r="B159" s="21" t="str">
        <v>페블레,바타르 몽라쉐 그랑 크뤼</v>
      </c>
      <c r="C159" s="21">
        <v>2018</v>
      </c>
      <c r="D159" s="21" t="str">
        <v>21번랙</v>
      </c>
      <c r="E159" s="22">
        <v>9</v>
      </c>
      <c r="F159" s="22">
        <v>0</v>
      </c>
      <c r="G159" s="22">
        <v>9</v>
      </c>
      <c r="H159" s="21" t="str">
        <v>정상</v>
      </c>
      <c r="I159" s="23" t="str" cm="1">
        <f t="array" ref="I159">IF(B159="", "", _xlfn.TEXTJOIN(", ", TRUE, _xlfn.UNIQUE(_xlfn._xlws.FILTER(입출고대장!$I:$I, (입출고대장!$D:$D=B159)*(입출고대장!$E:$E=C159)*(입출고대장!$F:$F=D159)*(입출고대장!$I:$I&lt;&gt;""), ""))))</f>
        <v>Faiveley Batard Montrachet G.C</v>
      </c>
    </row>
    <row r="160" spans="1:9" ht="17.25" x14ac:dyDescent="0.3">
      <c r="A160" s="20" t="str">
        <v>프랑스</v>
      </c>
      <c r="B160" s="21" t="str">
        <v>페블레,바타르 몽라쉐 그랑 크뤼</v>
      </c>
      <c r="C160" s="21">
        <v>2019</v>
      </c>
      <c r="D160" s="21" t="str">
        <v>21번랙</v>
      </c>
      <c r="E160" s="22">
        <v>3</v>
      </c>
      <c r="F160" s="22">
        <v>0</v>
      </c>
      <c r="G160" s="22">
        <v>3</v>
      </c>
      <c r="H160" s="21" t="str">
        <v>정상</v>
      </c>
      <c r="I160" s="23" t="str" cm="1">
        <f t="array" ref="I160">IF(B160="", "", _xlfn.TEXTJOIN(", ", TRUE, _xlfn.UNIQUE(_xlfn._xlws.FILTER(입출고대장!$I:$I, (입출고대장!$D:$D=B160)*(입출고대장!$E:$E=C160)*(입출고대장!$F:$F=D160)*(입출고대장!$I:$I&lt;&gt;""), ""))))</f>
        <v>Faiveley Batard Montrachet G.C</v>
      </c>
    </row>
    <row r="161" spans="1:9" ht="17.25" x14ac:dyDescent="0.3">
      <c r="A161" s="20" t="str">
        <v>프랑스</v>
      </c>
      <c r="B161" s="21" t="str">
        <v>페블레,비엥브뉘 바타르 몽라쉐 그랑 크뤼</v>
      </c>
      <c r="C161" s="21">
        <v>2018</v>
      </c>
      <c r="D161" s="21" t="str">
        <v>21번랙</v>
      </c>
      <c r="E161" s="22">
        <v>6</v>
      </c>
      <c r="F161" s="22">
        <v>0</v>
      </c>
      <c r="G161" s="22">
        <v>6</v>
      </c>
      <c r="H161" s="21" t="str">
        <v>정상</v>
      </c>
      <c r="I161" s="23" t="str" cm="1">
        <f t="array" ref="I161">IF(B161="", "", _xlfn.TEXTJOIN(", ", TRUE, _xlfn.UNIQUE(_xlfn._xlws.FILTER(입출고대장!$I:$I, (입출고대장!$D:$D=B161)*(입출고대장!$E:$E=C161)*(입출고대장!$F:$F=D161)*(입출고대장!$I:$I&lt;&gt;""), ""))))</f>
        <v>Faiveley Bienvenues Batard G.C</v>
      </c>
    </row>
    <row r="162" spans="1:9" ht="17.25" x14ac:dyDescent="0.3">
      <c r="A162" s="20" t="str">
        <v>프랑스</v>
      </c>
      <c r="B162" s="21" t="str">
        <v>페블레, 샹베르땡 끌로 드 베즈 그랑 크뤼</v>
      </c>
      <c r="C162" s="21">
        <v>2011</v>
      </c>
      <c r="D162" s="21" t="str">
        <v>22번랙</v>
      </c>
      <c r="E162" s="22">
        <v>18</v>
      </c>
      <c r="F162" s="22">
        <v>0</v>
      </c>
      <c r="G162" s="22">
        <v>18</v>
      </c>
      <c r="H162" s="21" t="str">
        <v>정상</v>
      </c>
      <c r="I162" s="23" t="str" cm="1">
        <f t="array" ref="I162">IF(B162="", "", _xlfn.TEXTJOIN(", ", TRUE, _xlfn.UNIQUE(_xlfn._xlws.FILTER(입출고대장!$I:$I, (입출고대장!$D:$D=B162)*(입출고대장!$E:$E=C162)*(입출고대장!$F:$F=D162)*(입출고대장!$I:$I&lt;&gt;""), ""))))</f>
        <v>Faiveley Chambertin Clos de Beze G.C</v>
      </c>
    </row>
    <row r="163" spans="1:9" ht="17.25" x14ac:dyDescent="0.3">
      <c r="A163" s="20" t="str">
        <v>프랑스</v>
      </c>
      <c r="B163" s="21" t="str">
        <v>페블레,바타르 몽라쉐 그랑 크뤼</v>
      </c>
      <c r="C163" s="21">
        <v>2011</v>
      </c>
      <c r="D163" s="21" t="str">
        <v>22번랙</v>
      </c>
      <c r="E163" s="22">
        <v>6</v>
      </c>
      <c r="F163" s="22">
        <v>0</v>
      </c>
      <c r="G163" s="22">
        <v>6</v>
      </c>
      <c r="H163" s="21" t="str">
        <v>정상</v>
      </c>
      <c r="I163" s="23" t="str" cm="1">
        <f t="array" ref="I163">IF(B163="", "", _xlfn.TEXTJOIN(", ", TRUE, _xlfn.UNIQUE(_xlfn._xlws.FILTER(입출고대장!$I:$I, (입출고대장!$D:$D=B163)*(입출고대장!$E:$E=C163)*(입출고대장!$F:$F=D163)*(입출고대장!$I:$I&lt;&gt;""), ""))))</f>
        <v>Faiveley Batard Montrachet G.C</v>
      </c>
    </row>
    <row r="164" spans="1:9" ht="17.25" x14ac:dyDescent="0.3">
      <c r="A164" s="20" t="str">
        <v>프랑스</v>
      </c>
      <c r="B164" s="21" t="str">
        <v>페블레,바타르 몽라쉐 그랑 크뤼</v>
      </c>
      <c r="C164" s="21">
        <v>2014</v>
      </c>
      <c r="D164" s="21" t="str">
        <v>22번랙</v>
      </c>
      <c r="E164" s="22">
        <v>3</v>
      </c>
      <c r="F164" s="22">
        <v>0</v>
      </c>
      <c r="G164" s="22">
        <v>3</v>
      </c>
      <c r="H164" s="21" t="str">
        <v>정상</v>
      </c>
      <c r="I164" s="23" t="str" cm="1">
        <f t="array" ref="I164">IF(B164="", "", _xlfn.TEXTJOIN(", ", TRUE, _xlfn.UNIQUE(_xlfn._xlws.FILTER(입출고대장!$I:$I, (입출고대장!$D:$D=B164)*(입출고대장!$E:$E=C164)*(입출고대장!$F:$F=D164)*(입출고대장!$I:$I&lt;&gt;""), ""))))</f>
        <v>Faiveley Batard Montrachet G.C</v>
      </c>
    </row>
    <row r="165" spans="1:9" ht="17.25" x14ac:dyDescent="0.3">
      <c r="A165" s="20" t="str">
        <v>프랑스</v>
      </c>
      <c r="B165" s="21" t="str">
        <v>페블레,바타르 몽라쉐 그랑 크뤼</v>
      </c>
      <c r="C165" s="21">
        <v>2020</v>
      </c>
      <c r="D165" s="21" t="str">
        <v>22번랙</v>
      </c>
      <c r="E165" s="22">
        <v>3</v>
      </c>
      <c r="F165" s="22">
        <v>0</v>
      </c>
      <c r="G165" s="22">
        <v>3</v>
      </c>
      <c r="H165" s="21" t="str">
        <v>정상</v>
      </c>
      <c r="I165" s="23" t="str" cm="1">
        <f t="array" ref="I165">IF(B165="", "", _xlfn.TEXTJOIN(", ", TRUE, _xlfn.UNIQUE(_xlfn._xlws.FILTER(입출고대장!$I:$I, (입출고대장!$D:$D=B165)*(입출고대장!$E:$E=C165)*(입출고대장!$F:$F=D165)*(입출고대장!$I:$I&lt;&gt;""), ""))))</f>
        <v>Faiveley Batard Montrachet G.C</v>
      </c>
    </row>
    <row r="166" spans="1:9" ht="17.25" x14ac:dyDescent="0.3">
      <c r="A166" s="20" t="str">
        <v>프랑스</v>
      </c>
      <c r="B166" s="21" t="str">
        <v>페블레,비엥브뉘 바타르 몽라쉐 그랑 크뤼</v>
      </c>
      <c r="C166" s="21">
        <v>2011</v>
      </c>
      <c r="D166" s="21" t="str">
        <v>22번랙</v>
      </c>
      <c r="E166" s="22">
        <v>4</v>
      </c>
      <c r="F166" s="22">
        <v>0</v>
      </c>
      <c r="G166" s="22">
        <v>4</v>
      </c>
      <c r="H166" s="21" t="str">
        <v>정상</v>
      </c>
      <c r="I166" s="23" t="str" cm="1">
        <f t="array" ref="I166">IF(B166="", "", _xlfn.TEXTJOIN(", ", TRUE, _xlfn.UNIQUE(_xlfn._xlws.FILTER(입출고대장!$I:$I, (입출고대장!$D:$D=B166)*(입출고대장!$E:$E=C166)*(입출고대장!$F:$F=D166)*(입출고대장!$I:$I&lt;&gt;""), ""))))</f>
        <v>Faiveley Bienvenues Batard G.C</v>
      </c>
    </row>
    <row r="167" spans="1:9" ht="17.25" x14ac:dyDescent="0.3">
      <c r="A167" s="20" t="str">
        <v>프랑스</v>
      </c>
      <c r="B167" s="21" t="str">
        <v>페블레,비엥브뉘 바타르 몽라쉐 그랑 크뤼</v>
      </c>
      <c r="C167" s="21">
        <v>2014</v>
      </c>
      <c r="D167" s="21" t="str">
        <v>22번랙</v>
      </c>
      <c r="E167" s="22">
        <v>3</v>
      </c>
      <c r="F167" s="22">
        <v>0</v>
      </c>
      <c r="G167" s="22">
        <v>3</v>
      </c>
      <c r="H167" s="21" t="str">
        <v>정상</v>
      </c>
      <c r="I167" s="23" t="str" cm="1">
        <f t="array" ref="I167">IF(B167="", "", _xlfn.TEXTJOIN(", ", TRUE, _xlfn.UNIQUE(_xlfn._xlws.FILTER(입출고대장!$I:$I, (입출고대장!$D:$D=B167)*(입출고대장!$E:$E=C167)*(입출고대장!$F:$F=D167)*(입출고대장!$I:$I&lt;&gt;""), ""))))</f>
        <v>Faiveley Bienvenues Batard G.C</v>
      </c>
    </row>
    <row r="168" spans="1:9" ht="17.25" x14ac:dyDescent="0.3">
      <c r="A168" s="20" t="str">
        <v>프랑스</v>
      </c>
      <c r="B168" s="21" t="str">
        <v>페블레,비엥브뉘 바타르 몽라쉐 그랑 크뤼</v>
      </c>
      <c r="C168" s="21">
        <v>2017</v>
      </c>
      <c r="D168" s="21" t="str">
        <v>22번랙</v>
      </c>
      <c r="E168" s="22">
        <v>2</v>
      </c>
      <c r="F168" s="22">
        <v>0</v>
      </c>
      <c r="G168" s="22">
        <v>2</v>
      </c>
      <c r="H168" s="21" t="str">
        <v>정상</v>
      </c>
      <c r="I168" s="23" t="str" cm="1">
        <f t="array" ref="I168">IF(B168="", "", _xlfn.TEXTJOIN(", ", TRUE, _xlfn.UNIQUE(_xlfn._xlws.FILTER(입출고대장!$I:$I, (입출고대장!$D:$D=B168)*(입출고대장!$E:$E=C168)*(입출고대장!$F:$F=D168)*(입출고대장!$I:$I&lt;&gt;""), ""))))</f>
        <v>Faiveley Bienvenues Batard G.C</v>
      </c>
    </row>
    <row r="169" spans="1:9" ht="17.25" x14ac:dyDescent="0.3">
      <c r="A169" s="20" t="str">
        <v>프랑스</v>
      </c>
      <c r="B169" s="21" t="str">
        <v>페블레,비엥브뉘 바타르 몽라쉐 그랑 크뤼</v>
      </c>
      <c r="C169" s="21">
        <v>2019</v>
      </c>
      <c r="D169" s="21" t="str">
        <v>22번랙</v>
      </c>
      <c r="E169" s="22">
        <v>6</v>
      </c>
      <c r="F169" s="22">
        <v>0</v>
      </c>
      <c r="G169" s="22">
        <v>6</v>
      </c>
      <c r="H169" s="21" t="str">
        <v>정상</v>
      </c>
      <c r="I169" s="23" t="str" cm="1">
        <f t="array" ref="I169">IF(B169="", "", _xlfn.TEXTJOIN(", ", TRUE, _xlfn.UNIQUE(_xlfn._xlws.FILTER(입출고대장!$I:$I, (입출고대장!$D:$D=B169)*(입출고대장!$E:$E=C169)*(입출고대장!$F:$F=D169)*(입출고대장!$I:$I&lt;&gt;""), ""))))</f>
        <v>Faiveley Bienvenues Batard G.C</v>
      </c>
    </row>
    <row r="170" spans="1:9" ht="17.25" x14ac:dyDescent="0.3">
      <c r="A170" s="20" t="str">
        <v>프랑스</v>
      </c>
      <c r="B170" s="21" t="str">
        <v>페블레,비엥브뉘 바타르 몽라쉐 그랑 크뤼</v>
      </c>
      <c r="C170" s="21">
        <v>2020</v>
      </c>
      <c r="D170" s="21" t="str">
        <v>22번랙</v>
      </c>
      <c r="E170" s="22">
        <v>3</v>
      </c>
      <c r="F170" s="22">
        <v>0</v>
      </c>
      <c r="G170" s="22">
        <v>3</v>
      </c>
      <c r="H170" s="21" t="str">
        <v>정상</v>
      </c>
      <c r="I170" s="23" t="str" cm="1">
        <f t="array" ref="I170">IF(B170="", "", _xlfn.TEXTJOIN(", ", TRUE, _xlfn.UNIQUE(_xlfn._xlws.FILTER(입출고대장!$I:$I, (입출고대장!$D:$D=B170)*(입출고대장!$E:$E=C170)*(입출고대장!$F:$F=D170)*(입출고대장!$I:$I&lt;&gt;""), ""))))</f>
        <v>Faiveley Bienvenues Batard G.C</v>
      </c>
    </row>
    <row r="171" spans="1:9" ht="17.25" x14ac:dyDescent="0.3">
      <c r="A171" s="20" t="str">
        <v>미국</v>
      </c>
      <c r="B171" s="21" t="str">
        <v>더저지</v>
      </c>
      <c r="C171" s="21">
        <v>2008</v>
      </c>
      <c r="D171" s="21" t="str">
        <v>23번랙</v>
      </c>
      <c r="E171" s="22">
        <v>6</v>
      </c>
      <c r="F171" s="22">
        <v>0</v>
      </c>
      <c r="G171" s="22">
        <v>6</v>
      </c>
      <c r="H171" s="21" t="str">
        <v>정상</v>
      </c>
      <c r="I171" s="23" t="str" cm="1">
        <f t="array" ref="I171">IF(B171="", "", _xlfn.TEXTJOIN(", ", TRUE, _xlfn.UNIQUE(_xlfn._xlws.FILTER(입출고대장!$I:$I, (입출고대장!$D:$D=B171)*(입출고대장!$E:$E=C171)*(입출고대장!$F:$F=D171)*(입출고대장!$I:$I&lt;&gt;""), ""))))</f>
        <v>Kongsgaard The Judge</v>
      </c>
    </row>
    <row r="172" spans="1:9" ht="17.25" x14ac:dyDescent="0.3">
      <c r="A172" s="20" t="str">
        <v>프랑스</v>
      </c>
      <c r="B172" s="21" t="str">
        <v>도멘 르플레브 룰리 프리미에 크뤼</v>
      </c>
      <c r="C172" s="21">
        <v>2018</v>
      </c>
      <c r="D172" s="21" t="str">
        <v>23번랙</v>
      </c>
      <c r="E172" s="22">
        <v>17</v>
      </c>
      <c r="F172" s="22">
        <v>0</v>
      </c>
      <c r="G172" s="22">
        <v>17</v>
      </c>
      <c r="H172" s="21" t="str">
        <v>정상</v>
      </c>
      <c r="I172" s="23" t="str" cm="1">
        <f t="array" ref="I172">IF(B172="", "", _xlfn.TEXTJOIN(", ", TRUE, _xlfn.UNIQUE(_xlfn._xlws.FILTER(입출고대장!$I:$I, (입출고대장!$D:$D=B172)*(입출고대장!$E:$E=C172)*(입출고대장!$F:$F=D172)*(입출고대장!$I:$I&lt;&gt;""), ""))))</f>
        <v>Domaine Leflaive</v>
      </c>
    </row>
    <row r="173" spans="1:9" ht="17.25" x14ac:dyDescent="0.3">
      <c r="A173" s="20" t="str">
        <v>프랑스</v>
      </c>
      <c r="B173" s="21" t="str">
        <v>메르소</v>
      </c>
      <c r="C173" s="21">
        <v>2011</v>
      </c>
      <c r="D173" s="21" t="str">
        <v>23번랙</v>
      </c>
      <c r="E173" s="22">
        <v>4</v>
      </c>
      <c r="F173" s="22">
        <v>0</v>
      </c>
      <c r="G173" s="22">
        <v>4</v>
      </c>
      <c r="H173" s="21" t="str">
        <v>정상</v>
      </c>
      <c r="I173" s="23" t="str" cm="1">
        <f t="array" ref="I173">IF(B173="", "", _xlfn.TEXTJOIN(", ", TRUE, _xlfn.UNIQUE(_xlfn._xlws.FILTER(입출고대장!$I:$I, (입출고대장!$D:$D=B173)*(입출고대장!$E:$E=C173)*(입출고대장!$F:$F=D173)*(입출고대장!$I:$I&lt;&gt;""), ""))))</f>
        <v>Meursault</v>
      </c>
    </row>
    <row r="174" spans="1:9" ht="17.25" x14ac:dyDescent="0.3">
      <c r="A174" s="20" t="str">
        <v>프랑스</v>
      </c>
      <c r="B174" s="21" t="str">
        <v>메르소</v>
      </c>
      <c r="C174" s="21">
        <v>2013</v>
      </c>
      <c r="D174" s="21" t="str">
        <v>23번랙</v>
      </c>
      <c r="E174" s="22">
        <v>4</v>
      </c>
      <c r="F174" s="22">
        <v>0</v>
      </c>
      <c r="G174" s="22">
        <v>4</v>
      </c>
      <c r="H174" s="21" t="str">
        <v>정상</v>
      </c>
      <c r="I174" s="23" t="str" cm="1">
        <f t="array" ref="I174">IF(B174="", "", _xlfn.TEXTJOIN(", ", TRUE, _xlfn.UNIQUE(_xlfn._xlws.FILTER(입출고대장!$I:$I, (입출고대장!$D:$D=B174)*(입출고대장!$E:$E=C174)*(입출고대장!$F:$F=D174)*(입출고대장!$I:$I&lt;&gt;""), ""))))</f>
        <v>Meursault</v>
      </c>
    </row>
    <row r="175" spans="1:9" ht="17.25" x14ac:dyDescent="0.3">
      <c r="A175" s="20" t="str">
        <v>프랑스</v>
      </c>
      <c r="B175" s="21" t="str">
        <v>샤또 트로타누아</v>
      </c>
      <c r="C175" s="21">
        <v>2005</v>
      </c>
      <c r="D175" s="21" t="str">
        <v>23번랙</v>
      </c>
      <c r="E175" s="22">
        <v>12</v>
      </c>
      <c r="F175" s="22">
        <v>0</v>
      </c>
      <c r="G175" s="22">
        <v>12</v>
      </c>
      <c r="H175" s="21" t="str">
        <v>정상</v>
      </c>
      <c r="I175" s="23" t="str" cm="1">
        <f t="array" ref="I175">IF(B175="", "", _xlfn.TEXTJOIN(", ", TRUE, _xlfn.UNIQUE(_xlfn._xlws.FILTER(입출고대장!$I:$I, (입출고대장!$D:$D=B175)*(입출고대장!$E:$E=C175)*(입출고대장!$F:$F=D175)*(입출고대장!$I:$I&lt;&gt;""), ""))))</f>
        <v>Ch.Trotanoy</v>
      </c>
    </row>
    <row r="176" spans="1:9" ht="17.25" x14ac:dyDescent="0.3">
      <c r="A176" s="20" t="str">
        <v>프랑스</v>
      </c>
      <c r="B176" s="21" t="str">
        <v>페블레,바타르 몽라쉐 그랑 크뤼</v>
      </c>
      <c r="C176" s="21">
        <v>2022</v>
      </c>
      <c r="D176" s="21" t="str">
        <v>23번랙</v>
      </c>
      <c r="E176" s="22">
        <v>3</v>
      </c>
      <c r="F176" s="22">
        <v>0</v>
      </c>
      <c r="G176" s="22">
        <v>3</v>
      </c>
      <c r="H176" s="21" t="str">
        <v>정상</v>
      </c>
      <c r="I176" s="23" t="str" cm="1">
        <f t="array" ref="I176">IF(B176="", "", _xlfn.TEXTJOIN(", ", TRUE, _xlfn.UNIQUE(_xlfn._xlws.FILTER(입출고대장!$I:$I, (입출고대장!$D:$D=B176)*(입출고대장!$E:$E=C176)*(입출고대장!$F:$F=D176)*(입출고대장!$I:$I&lt;&gt;""), ""))))</f>
        <v>Faiveley Batard Montrachet G.C</v>
      </c>
    </row>
    <row r="177" spans="1:9" ht="17.25" x14ac:dyDescent="0.3">
      <c r="A177" s="20" t="str">
        <v>프랑스</v>
      </c>
      <c r="B177" s="21" t="str">
        <v>페블레,비엥브뉘 바타르 몽라쉐 그랑 크뤼</v>
      </c>
      <c r="C177" s="21">
        <v>2022</v>
      </c>
      <c r="D177" s="21" t="str">
        <v>23번랙</v>
      </c>
      <c r="E177" s="22">
        <v>3</v>
      </c>
      <c r="F177" s="22">
        <v>0</v>
      </c>
      <c r="G177" s="22">
        <v>3</v>
      </c>
      <c r="H177" s="21" t="str">
        <v>정상</v>
      </c>
      <c r="I177" s="23" t="str" cm="1">
        <f t="array" ref="I177">IF(B177="", "", _xlfn.TEXTJOIN(", ", TRUE, _xlfn.UNIQUE(_xlfn._xlws.FILTER(입출고대장!$I:$I, (입출고대장!$D:$D=B177)*(입출고대장!$E:$E=C177)*(입출고대장!$F:$F=D177)*(입출고대장!$I:$I&lt;&gt;""), ""))))</f>
        <v>Faiveley Bienvenues Batard G.C</v>
      </c>
    </row>
    <row r="178" spans="1:9" ht="17.25" x14ac:dyDescent="0.3">
      <c r="A178" s="20" t="str">
        <v>미국</v>
      </c>
      <c r="B178" s="21" t="str">
        <v>꽁스가르드 샤도네이</v>
      </c>
      <c r="C178" s="21">
        <v>2008</v>
      </c>
      <c r="D178" s="21" t="str">
        <v>24번랙</v>
      </c>
      <c r="E178" s="22">
        <v>1</v>
      </c>
      <c r="F178" s="22">
        <v>0</v>
      </c>
      <c r="G178" s="22">
        <v>1</v>
      </c>
      <c r="H178" s="21" t="str">
        <v>정상</v>
      </c>
      <c r="I178" s="23" t="str" cm="1">
        <f t="array" ref="I178">IF(B178="", "", _xlfn.TEXTJOIN(", ", TRUE, _xlfn.UNIQUE(_xlfn._xlws.FILTER(입출고대장!$I:$I, (입출고대장!$D:$D=B178)*(입출고대장!$E:$E=C178)*(입출고대장!$F:$F=D178)*(입출고대장!$I:$I&lt;&gt;""), ""))))</f>
        <v>Kongsgaard Chardonnay</v>
      </c>
    </row>
    <row r="179" spans="1:9" ht="17.25" x14ac:dyDescent="0.3">
      <c r="A179" s="20" t="str">
        <v>미국</v>
      </c>
      <c r="B179" s="21" t="str">
        <v>꽁스가르드 샤도네이</v>
      </c>
      <c r="C179" s="21">
        <v>2011</v>
      </c>
      <c r="D179" s="21" t="str">
        <v>24번랙</v>
      </c>
      <c r="E179" s="22">
        <v>3</v>
      </c>
      <c r="F179" s="22">
        <v>0</v>
      </c>
      <c r="G179" s="22">
        <v>3</v>
      </c>
      <c r="H179" s="21" t="str">
        <v>정상</v>
      </c>
      <c r="I179" s="23" t="str" cm="1">
        <f t="array" ref="I179">IF(B179="", "", _xlfn.TEXTJOIN(", ", TRUE, _xlfn.UNIQUE(_xlfn._xlws.FILTER(입출고대장!$I:$I, (입출고대장!$D:$D=B179)*(입출고대장!$E:$E=C179)*(입출고대장!$F:$F=D179)*(입출고대장!$I:$I&lt;&gt;""), ""))))</f>
        <v>Kongsgaard Chardonnay</v>
      </c>
    </row>
    <row r="180" spans="1:9" ht="17.25" x14ac:dyDescent="0.3">
      <c r="A180" s="20" t="str">
        <v>미국</v>
      </c>
      <c r="B180" s="21" t="str">
        <v>씨네퀴넌</v>
      </c>
      <c r="C180" s="21">
        <v>2008</v>
      </c>
      <c r="D180" s="21" t="str">
        <v>24번랙</v>
      </c>
      <c r="E180" s="22">
        <v>2</v>
      </c>
      <c r="F180" s="22">
        <v>0</v>
      </c>
      <c r="G180" s="22">
        <v>2</v>
      </c>
      <c r="H180" s="21" t="str">
        <v>정상</v>
      </c>
      <c r="I180" s="23" t="str" cm="1">
        <f t="array" ref="I180">IF(B180="", "", _xlfn.TEXTJOIN(", ", TRUE, _xlfn.UNIQUE(_xlfn._xlws.FILTER(입출고대장!$I:$I, (입출고대장!$D:$D=B180)*(입출고대장!$E:$E=C180)*(입출고대장!$F:$F=D180)*(입출고대장!$I:$I&lt;&gt;""), ""))))</f>
        <v>Sine Qua Non</v>
      </c>
    </row>
    <row r="181" spans="1:9" ht="17.25" x14ac:dyDescent="0.3">
      <c r="A181" s="20" t="str">
        <v>미국</v>
      </c>
      <c r="B181" s="21" t="str">
        <v>씨네퀴넌</v>
      </c>
      <c r="C181" s="21">
        <v>2012</v>
      </c>
      <c r="D181" s="21" t="str">
        <v>24번랙</v>
      </c>
      <c r="E181" s="22">
        <v>7</v>
      </c>
      <c r="F181" s="22">
        <v>0</v>
      </c>
      <c r="G181" s="22">
        <v>7</v>
      </c>
      <c r="H181" s="21" t="str">
        <v>정상</v>
      </c>
      <c r="I181" s="23" t="str" cm="1">
        <f t="array" ref="I181">IF(B181="", "", _xlfn.TEXTJOIN(", ", TRUE, _xlfn.UNIQUE(_xlfn._xlws.FILTER(입출고대장!$I:$I, (입출고대장!$D:$D=B181)*(입출고대장!$E:$E=C181)*(입출고대장!$F:$F=D181)*(입출고대장!$I:$I&lt;&gt;""), ""))))</f>
        <v>Sine Qua Non</v>
      </c>
    </row>
    <row r="182" spans="1:9" ht="17.25" x14ac:dyDescent="0.3">
      <c r="A182" s="20" t="str">
        <v>미국</v>
      </c>
      <c r="B182" s="21" t="str">
        <v>씨네퀴넌</v>
      </c>
      <c r="C182" s="21">
        <v>2014</v>
      </c>
      <c r="D182" s="21" t="str">
        <v>24번랙</v>
      </c>
      <c r="E182" s="22">
        <v>2</v>
      </c>
      <c r="F182" s="22">
        <v>0</v>
      </c>
      <c r="G182" s="22">
        <v>2</v>
      </c>
      <c r="H182" s="21" t="str">
        <v>정상</v>
      </c>
      <c r="I182" s="23" t="str" cm="1">
        <f t="array" ref="I182">IF(B182="", "", _xlfn.TEXTJOIN(", ", TRUE, _xlfn.UNIQUE(_xlfn._xlws.FILTER(입출고대장!$I:$I, (입출고대장!$D:$D=B182)*(입출고대장!$E:$E=C182)*(입출고대장!$F:$F=D182)*(입출고대장!$I:$I&lt;&gt;""), ""))))</f>
        <v>Sine Qua Non</v>
      </c>
    </row>
    <row r="183" spans="1:9" ht="17.25" x14ac:dyDescent="0.3">
      <c r="A183" s="20" t="str">
        <v>프랑스</v>
      </c>
      <c r="B183" s="21" t="str">
        <v>꽁뜨 리제벨레르 볼로마네</v>
      </c>
      <c r="C183" s="21">
        <v>2012</v>
      </c>
      <c r="D183" s="21" t="str">
        <v>24번랙</v>
      </c>
      <c r="E183" s="22">
        <v>1</v>
      </c>
      <c r="F183" s="22">
        <v>0</v>
      </c>
      <c r="G183" s="22">
        <v>1</v>
      </c>
      <c r="H183" s="21" t="str">
        <v>정상</v>
      </c>
      <c r="I183" s="23" t="str" cm="1">
        <f t="array" ref="I183">IF(B183="", "", _xlfn.TEXTJOIN(", ", TRUE, _xlfn.UNIQUE(_xlfn._xlws.FILTER(입출고대장!$I:$I, (입출고대장!$D:$D=B183)*(입출고대장!$E:$E=C183)*(입출고대장!$F:$F=D183)*(입출고대장!$I:$I&lt;&gt;""), ""))))</f>
        <v>Comte Liger-Belair</v>
      </c>
    </row>
    <row r="184" spans="1:9" ht="17.25" x14ac:dyDescent="0.3">
      <c r="A184" s="20" t="str">
        <v>프랑스</v>
      </c>
      <c r="B184" s="21" t="str">
        <v>꽁뜨 리제벨레르 볼로마네</v>
      </c>
      <c r="C184" s="21">
        <v>2014</v>
      </c>
      <c r="D184" s="21" t="str">
        <v>24번랙</v>
      </c>
      <c r="E184" s="22">
        <v>4</v>
      </c>
      <c r="F184" s="22">
        <v>0</v>
      </c>
      <c r="G184" s="22">
        <v>4</v>
      </c>
      <c r="H184" s="21" t="str">
        <v>정상</v>
      </c>
      <c r="I184" s="23" t="str" cm="1">
        <f t="array" ref="I184">IF(B184="", "", _xlfn.TEXTJOIN(", ", TRUE, _xlfn.UNIQUE(_xlfn._xlws.FILTER(입출고대장!$I:$I, (입출고대장!$D:$D=B184)*(입출고대장!$E:$E=C184)*(입출고대장!$F:$F=D184)*(입출고대장!$I:$I&lt;&gt;""), ""))))</f>
        <v>Comte Liger-Belair</v>
      </c>
    </row>
    <row r="185" spans="1:9" ht="17.25" x14ac:dyDescent="0.3">
      <c r="A185" s="20" t="str">
        <v>프랑스</v>
      </c>
      <c r="B185" s="21" t="str">
        <v>샤또 드 보까스텔, 샤또네프 뒤 빠쁘 루싼느 비에이유 비뉴</v>
      </c>
      <c r="C185" s="21">
        <v>2010</v>
      </c>
      <c r="D185" s="21" t="str">
        <v>24번랙</v>
      </c>
      <c r="E185" s="22">
        <v>12</v>
      </c>
      <c r="F185" s="22">
        <v>0</v>
      </c>
      <c r="G185" s="22">
        <v>12</v>
      </c>
      <c r="H185" s="21" t="str">
        <v>정상</v>
      </c>
      <c r="I185" s="23" t="str" cm="1">
        <f t="array" ref="I185">IF(B185="", "", _xlfn.TEXTJOIN(", ", TRUE, _xlfn.UNIQUE(_xlfn._xlws.FILTER(입출고대장!$I:$I, (입출고대장!$D:$D=B185)*(입출고대장!$E:$E=C185)*(입출고대장!$F:$F=D185)*(입출고대장!$I:$I&lt;&gt;""), ""))))</f>
        <v>Roussanne V.V</v>
      </c>
    </row>
    <row r="186" spans="1:9" ht="17.25" x14ac:dyDescent="0.3">
      <c r="A186" s="20" t="str">
        <v>프랑스</v>
      </c>
      <c r="B186" s="21" t="str">
        <v>샤또 드 보까스텔, 샤또네프 뒤 빠쁘 루싼느 비에이유 비뉴</v>
      </c>
      <c r="C186" s="21">
        <v>2011</v>
      </c>
      <c r="D186" s="21" t="str">
        <v>24번랙</v>
      </c>
      <c r="E186" s="22">
        <v>12</v>
      </c>
      <c r="F186" s="22">
        <v>0</v>
      </c>
      <c r="G186" s="22">
        <v>12</v>
      </c>
      <c r="H186" s="21" t="str">
        <v>정상</v>
      </c>
      <c r="I186" s="23" t="str" cm="1">
        <f t="array" ref="I186">IF(B186="", "", _xlfn.TEXTJOIN(", ", TRUE, _xlfn.UNIQUE(_xlfn._xlws.FILTER(입출고대장!$I:$I, (입출고대장!$D:$D=B186)*(입출고대장!$E:$E=C186)*(입출고대장!$F:$F=D186)*(입출고대장!$I:$I&lt;&gt;""), ""))))</f>
        <v>Roussanne V.V</v>
      </c>
    </row>
    <row r="187" spans="1:9" ht="17.25" x14ac:dyDescent="0.3">
      <c r="A187" s="20" t="str">
        <v>프랑스</v>
      </c>
      <c r="B187" s="21" t="str">
        <v>샤또 오존</v>
      </c>
      <c r="C187" s="21">
        <v>1995</v>
      </c>
      <c r="D187" s="21" t="str">
        <v>24번랙</v>
      </c>
      <c r="E187" s="22">
        <v>1</v>
      </c>
      <c r="F187" s="22">
        <v>0</v>
      </c>
      <c r="G187" s="22">
        <v>1</v>
      </c>
      <c r="H187" s="21" t="str">
        <v>정상</v>
      </c>
      <c r="I187" s="23" t="str" cm="1">
        <f t="array" ref="I187">IF(B187="", "", _xlfn.TEXTJOIN(", ", TRUE, _xlfn.UNIQUE(_xlfn._xlws.FILTER(입출고대장!$I:$I, (입출고대장!$D:$D=B187)*(입출고대장!$E:$E=C187)*(입출고대장!$F:$F=D187)*(입출고대장!$I:$I&lt;&gt;""), ""))))</f>
        <v>Ch.Ausone</v>
      </c>
    </row>
    <row r="188" spans="1:9" ht="17.25" x14ac:dyDescent="0.3">
      <c r="A188" s="20" t="str">
        <v>프랑스</v>
      </c>
      <c r="B188" s="21" t="str">
        <v>샤또 페트뤼스</v>
      </c>
      <c r="C188" s="21">
        <v>2000</v>
      </c>
      <c r="D188" s="21" t="str">
        <v>24번랙</v>
      </c>
      <c r="E188" s="22">
        <v>2</v>
      </c>
      <c r="F188" s="22">
        <v>0</v>
      </c>
      <c r="G188" s="22">
        <v>2</v>
      </c>
      <c r="H188" s="21" t="str">
        <v>정상</v>
      </c>
      <c r="I188" s="23" t="str" cm="1">
        <f t="array" ref="I188">IF(B188="", "", _xlfn.TEXTJOIN(", ", TRUE, _xlfn.UNIQUE(_xlfn._xlws.FILTER(입출고대장!$I:$I, (입출고대장!$D:$D=B188)*(입출고대장!$E:$E=C188)*(입출고대장!$F:$F=D188)*(입출고대장!$I:$I&lt;&gt;""), ""))))</f>
        <v>Ch.Petrus</v>
      </c>
    </row>
    <row r="189" spans="1:9" ht="17.25" x14ac:dyDescent="0.3">
      <c r="A189" s="20" t="str">
        <v>프랑스</v>
      </c>
      <c r="B189" s="21" t="str">
        <v>자쿠스 셀로스 샴페인</v>
      </c>
      <c r="C189" s="21">
        <v>2020</v>
      </c>
      <c r="D189" s="21" t="str">
        <v>24번랙</v>
      </c>
      <c r="E189" s="22">
        <v>8</v>
      </c>
      <c r="F189" s="22">
        <v>0</v>
      </c>
      <c r="G189" s="22">
        <v>8</v>
      </c>
      <c r="H189" s="21" t="str">
        <v>정상</v>
      </c>
      <c r="I189" s="23" t="str" cm="1">
        <f t="array" ref="I189">IF(B189="", "", _xlfn.TEXTJOIN(", ", TRUE, _xlfn.UNIQUE(_xlfn._xlws.FILTER(입출고대장!$I:$I, (입출고대장!$D:$D=B189)*(입출고대장!$E:$E=C189)*(입출고대장!$F:$F=D189)*(입출고대장!$I:$I&lt;&gt;""), ""))))</f>
        <v>샴페인 (Jacques Selosse)</v>
      </c>
    </row>
    <row r="190" spans="1:9" ht="17.25" x14ac:dyDescent="0.3">
      <c r="A190" s="20" t="str">
        <v>이탈리아</v>
      </c>
      <c r="B190" s="21" t="str">
        <v>가야, 소리 산 로렌조</v>
      </c>
      <c r="C190" s="21">
        <v>2007</v>
      </c>
      <c r="D190" s="21" t="str">
        <v>25번랙</v>
      </c>
      <c r="E190" s="22">
        <v>3</v>
      </c>
      <c r="F190" s="22">
        <v>0</v>
      </c>
      <c r="G190" s="22">
        <v>3</v>
      </c>
      <c r="H190" s="21" t="str">
        <v>정상</v>
      </c>
      <c r="I190" s="23" t="str" cm="1">
        <f t="array" ref="I190">IF(B190="", "", _xlfn.TEXTJOIN(", ", TRUE, _xlfn.UNIQUE(_xlfn._xlws.FILTER(입출고대장!$I:$I, (입출고대장!$D:$D=B190)*(입출고대장!$E:$E=C190)*(입출고대장!$F:$F=D190)*(입출고대장!$I:$I&lt;&gt;""), ""))))</f>
        <v>Gaja, Sori San Lorenzo</v>
      </c>
    </row>
    <row r="191" spans="1:9" ht="17.25" x14ac:dyDescent="0.3">
      <c r="A191" s="20" t="str">
        <v>이탈리아</v>
      </c>
      <c r="B191" s="21" t="str">
        <v>가야, 소리 산 로렌조</v>
      </c>
      <c r="C191" s="21">
        <v>2008</v>
      </c>
      <c r="D191" s="21" t="str">
        <v>25번랙</v>
      </c>
      <c r="E191" s="22">
        <v>1</v>
      </c>
      <c r="F191" s="22">
        <v>0</v>
      </c>
      <c r="G191" s="22">
        <v>1</v>
      </c>
      <c r="H191" s="21" t="str">
        <v>정상</v>
      </c>
      <c r="I191" s="23" t="str" cm="1">
        <f t="array" ref="I191">IF(B191="", "", _xlfn.TEXTJOIN(", ", TRUE, _xlfn.UNIQUE(_xlfn._xlws.FILTER(입출고대장!$I:$I, (입출고대장!$D:$D=B191)*(입출고대장!$E:$E=C191)*(입출고대장!$F:$F=D191)*(입출고대장!$I:$I&lt;&gt;""), ""))))</f>
        <v>Gaja, 소리 산 로렌조</v>
      </c>
    </row>
    <row r="192" spans="1:9" ht="17.25" x14ac:dyDescent="0.3">
      <c r="A192" s="20" t="str">
        <v>이탈리아</v>
      </c>
      <c r="B192" s="21" t="str">
        <v>가야, 소리 산 로렌조</v>
      </c>
      <c r="C192" s="21">
        <v>2011</v>
      </c>
      <c r="D192" s="21" t="str">
        <v>25번랙</v>
      </c>
      <c r="E192" s="22">
        <v>2</v>
      </c>
      <c r="F192" s="22">
        <v>0</v>
      </c>
      <c r="G192" s="22">
        <v>2</v>
      </c>
      <c r="H192" s="21" t="str">
        <v>정상</v>
      </c>
      <c r="I192" s="23" t="str" cm="1">
        <f t="array" ref="I192">IF(B192="", "", _xlfn.TEXTJOIN(", ", TRUE, _xlfn.UNIQUE(_xlfn._xlws.FILTER(입출고대장!$I:$I, (입출고대장!$D:$D=B192)*(입출고대장!$E:$E=C192)*(입출고대장!$F:$F=D192)*(입출고대장!$I:$I&lt;&gt;""), ""))))</f>
        <v>Gaja, Sori San Lorenzo</v>
      </c>
    </row>
    <row r="193" spans="1:9" ht="17.25" x14ac:dyDescent="0.3">
      <c r="A193" s="20" t="str">
        <v>이탈리아</v>
      </c>
      <c r="B193" s="21" t="str">
        <v>가야, 소리 산 로렌조</v>
      </c>
      <c r="C193" s="21">
        <v>2013</v>
      </c>
      <c r="D193" s="21" t="str">
        <v>25번랙</v>
      </c>
      <c r="E193" s="22">
        <v>3</v>
      </c>
      <c r="F193" s="22">
        <v>0</v>
      </c>
      <c r="G193" s="22">
        <v>3</v>
      </c>
      <c r="H193" s="21" t="str">
        <v>정상</v>
      </c>
      <c r="I193" s="23" t="str" cm="1">
        <f t="array" ref="I193">IF(B193="", "", _xlfn.TEXTJOIN(", ", TRUE, _xlfn.UNIQUE(_xlfn._xlws.FILTER(입출고대장!$I:$I, (입출고대장!$D:$D=B193)*(입출고대장!$E:$E=C193)*(입출고대장!$F:$F=D193)*(입출고대장!$I:$I&lt;&gt;""), ""))))</f>
        <v>Gaja, Sori San Lorenzo</v>
      </c>
    </row>
    <row r="194" spans="1:9" ht="17.25" x14ac:dyDescent="0.3">
      <c r="A194" s="20" t="str">
        <v>이탈리아</v>
      </c>
      <c r="B194" s="21" t="str">
        <v>가야, 소리 틸딘</v>
      </c>
      <c r="C194" s="21">
        <v>2007</v>
      </c>
      <c r="D194" s="21" t="str">
        <v>25번랙</v>
      </c>
      <c r="E194" s="22">
        <v>3</v>
      </c>
      <c r="F194" s="22">
        <v>0</v>
      </c>
      <c r="G194" s="22">
        <v>3</v>
      </c>
      <c r="H194" s="21" t="str">
        <v>정상</v>
      </c>
      <c r="I194" s="23" t="str" cm="1">
        <f t="array" ref="I194">IF(B194="", "", _xlfn.TEXTJOIN(", ", TRUE, _xlfn.UNIQUE(_xlfn._xlws.FILTER(입출고대장!$I:$I, (입출고대장!$D:$D=B194)*(입출고대장!$E:$E=C194)*(입출고대장!$F:$F=D194)*(입출고대장!$I:$I&lt;&gt;""), ""))))</f>
        <v>Gaja, Sori Tildin</v>
      </c>
    </row>
    <row r="195" spans="1:9" ht="17.25" x14ac:dyDescent="0.3">
      <c r="A195" s="20" t="str">
        <v>이탈리아</v>
      </c>
      <c r="B195" s="21" t="str">
        <v>가야, 소리 틸딘</v>
      </c>
      <c r="C195" s="21">
        <v>2008</v>
      </c>
      <c r="D195" s="21" t="str">
        <v>25번랙</v>
      </c>
      <c r="E195" s="22">
        <v>1</v>
      </c>
      <c r="F195" s="22">
        <v>0</v>
      </c>
      <c r="G195" s="22">
        <v>1</v>
      </c>
      <c r="H195" s="21" t="str">
        <v>정상</v>
      </c>
      <c r="I195" s="23" t="str" cm="1">
        <f t="array" ref="I195">IF(B195="", "", _xlfn.TEXTJOIN(", ", TRUE, _xlfn.UNIQUE(_xlfn._xlws.FILTER(입출고대장!$I:$I, (입출고대장!$D:$D=B195)*(입출고대장!$E:$E=C195)*(입출고대장!$F:$F=D195)*(입출고대장!$I:$I&lt;&gt;""), ""))))</f>
        <v>Gaja, Sori Tildin</v>
      </c>
    </row>
    <row r="196" spans="1:9" ht="17.25" x14ac:dyDescent="0.3">
      <c r="A196" s="20" t="str">
        <v>이탈리아</v>
      </c>
      <c r="B196" s="21" t="str">
        <v>가야, 소리 틸딘</v>
      </c>
      <c r="C196" s="21">
        <v>2011</v>
      </c>
      <c r="D196" s="21" t="str">
        <v>25번랙</v>
      </c>
      <c r="E196" s="22">
        <v>2</v>
      </c>
      <c r="F196" s="22">
        <v>0</v>
      </c>
      <c r="G196" s="22">
        <v>2</v>
      </c>
      <c r="H196" s="21" t="str">
        <v>정상</v>
      </c>
      <c r="I196" s="23" t="str" cm="1">
        <f t="array" ref="I196">IF(B196="", "", _xlfn.TEXTJOIN(", ", TRUE, _xlfn.UNIQUE(_xlfn._xlws.FILTER(입출고대장!$I:$I, (입출고대장!$D:$D=B196)*(입출고대장!$E:$E=C196)*(입출고대장!$F:$F=D196)*(입출고대장!$I:$I&lt;&gt;""), ""))))</f>
        <v>Gaja, Sori Tildin</v>
      </c>
    </row>
    <row r="197" spans="1:9" ht="17.25" x14ac:dyDescent="0.3">
      <c r="A197" s="20" t="str">
        <v>이탈리아</v>
      </c>
      <c r="B197" s="21" t="str">
        <v>가야, 소리 틸딘</v>
      </c>
      <c r="C197" s="21">
        <v>2013</v>
      </c>
      <c r="D197" s="21" t="str">
        <v>25번랙</v>
      </c>
      <c r="E197" s="22">
        <v>3</v>
      </c>
      <c r="F197" s="22">
        <v>0</v>
      </c>
      <c r="G197" s="22">
        <v>3</v>
      </c>
      <c r="H197" s="21" t="str">
        <v>정상</v>
      </c>
      <c r="I197" s="23" t="str" cm="1">
        <f t="array" ref="I197">IF(B197="", "", _xlfn.TEXTJOIN(", ", TRUE, _xlfn.UNIQUE(_xlfn._xlws.FILTER(입출고대장!$I:$I, (입출고대장!$D:$D=B197)*(입출고대장!$E:$E=C197)*(입출고대장!$F:$F=D197)*(입출고대장!$I:$I&lt;&gt;""), ""))))</f>
        <v>Gaja, Sori Tildin</v>
      </c>
    </row>
    <row r="198" spans="1:9" ht="17.25" x14ac:dyDescent="0.3">
      <c r="A198" s="20" t="str">
        <v>이탈리아</v>
      </c>
      <c r="B198" s="21" t="str">
        <v>가야, 코스타 루씨</v>
      </c>
      <c r="C198" s="21">
        <v>2007</v>
      </c>
      <c r="D198" s="21" t="str">
        <v>25번랙</v>
      </c>
      <c r="E198" s="22">
        <v>3</v>
      </c>
      <c r="F198" s="22">
        <v>0</v>
      </c>
      <c r="G198" s="22">
        <v>3</v>
      </c>
      <c r="H198" s="21" t="str">
        <v>정상</v>
      </c>
      <c r="I198" s="23" t="str" cm="1">
        <f t="array" ref="I198">IF(B198="", "", _xlfn.TEXTJOIN(", ", TRUE, _xlfn.UNIQUE(_xlfn._xlws.FILTER(입출고대장!$I:$I, (입출고대장!$D:$D=B198)*(입출고대장!$E:$E=C198)*(입출고대장!$F:$F=D198)*(입출고대장!$I:$I&lt;&gt;""), ""))))</f>
        <v>Gaja, Costa Russi</v>
      </c>
    </row>
    <row r="199" spans="1:9" ht="17.25" x14ac:dyDescent="0.3">
      <c r="A199" s="20" t="str">
        <v>이탈리아</v>
      </c>
      <c r="B199" s="21" t="str">
        <v>가야, 코스타 루씨</v>
      </c>
      <c r="C199" s="21">
        <v>2008</v>
      </c>
      <c r="D199" s="21" t="str">
        <v>25번랙</v>
      </c>
      <c r="E199" s="22">
        <v>1</v>
      </c>
      <c r="F199" s="22">
        <v>0</v>
      </c>
      <c r="G199" s="22">
        <v>1</v>
      </c>
      <c r="H199" s="21" t="str">
        <v>정상</v>
      </c>
      <c r="I199" s="23" t="str" cm="1">
        <f t="array" ref="I199">IF(B199="", "", _xlfn.TEXTJOIN(", ", TRUE, _xlfn.UNIQUE(_xlfn._xlws.FILTER(입출고대장!$I:$I, (입출고대장!$D:$D=B199)*(입출고대장!$E:$E=C199)*(입출고대장!$F:$F=D199)*(입출고대장!$I:$I&lt;&gt;""), ""))))</f>
        <v>Gaja, Costa Russi</v>
      </c>
    </row>
    <row r="200" spans="1:9" ht="17.25" x14ac:dyDescent="0.3">
      <c r="A200" s="20" t="str">
        <v>이탈리아</v>
      </c>
      <c r="B200" s="21" t="str">
        <v>가야, 코스타 루씨</v>
      </c>
      <c r="C200" s="21">
        <v>2011</v>
      </c>
      <c r="D200" s="21" t="str">
        <v>25번랙</v>
      </c>
      <c r="E200" s="22">
        <v>2</v>
      </c>
      <c r="F200" s="22">
        <v>0</v>
      </c>
      <c r="G200" s="22">
        <v>2</v>
      </c>
      <c r="H200" s="21" t="str">
        <v>정상</v>
      </c>
      <c r="I200" s="23" t="str" cm="1">
        <f t="array" ref="I200">IF(B200="", "", _xlfn.TEXTJOIN(", ", TRUE, _xlfn.UNIQUE(_xlfn._xlws.FILTER(입출고대장!$I:$I, (입출고대장!$D:$D=B200)*(입출고대장!$E:$E=C200)*(입출고대장!$F:$F=D200)*(입출고대장!$I:$I&lt;&gt;""), ""))))</f>
        <v>Gaja, Costa Russi</v>
      </c>
    </row>
    <row r="201" spans="1:9" ht="17.25" x14ac:dyDescent="0.3">
      <c r="A201" s="20" t="str">
        <v>이탈리아</v>
      </c>
      <c r="B201" s="21" t="str">
        <v>가야, 코스타 루씨</v>
      </c>
      <c r="C201" s="21">
        <v>2013</v>
      </c>
      <c r="D201" s="21" t="str">
        <v>25번랙</v>
      </c>
      <c r="E201" s="22">
        <v>3</v>
      </c>
      <c r="F201" s="22">
        <v>0</v>
      </c>
      <c r="G201" s="22">
        <v>3</v>
      </c>
      <c r="H201" s="21" t="str">
        <v>정상</v>
      </c>
      <c r="I201" s="23" t="str" cm="1">
        <f t="array" ref="I201">IF(B201="", "", _xlfn.TEXTJOIN(", ", TRUE, _xlfn.UNIQUE(_xlfn._xlws.FILTER(입출고대장!$I:$I, (입출고대장!$D:$D=B201)*(입출고대장!$E:$E=C201)*(입출고대장!$F:$F=D201)*(입출고대장!$I:$I&lt;&gt;""), ""))))</f>
        <v>Gaja, Costa Russi</v>
      </c>
    </row>
    <row r="202" spans="1:9" ht="17.25" x14ac:dyDescent="0.3">
      <c r="A202" s="20" t="str">
        <v>이탈리아</v>
      </c>
      <c r="B202" s="21" t="str">
        <v>로카 디 프라시넬로, 바포네로</v>
      </c>
      <c r="C202" s="21">
        <v>2009</v>
      </c>
      <c r="D202" s="21" t="str">
        <v>25번랙</v>
      </c>
      <c r="E202" s="22">
        <v>6</v>
      </c>
      <c r="F202" s="22">
        <v>0</v>
      </c>
      <c r="G202" s="22">
        <v>6</v>
      </c>
      <c r="H202" s="21" t="str">
        <v>정상</v>
      </c>
      <c r="I202" s="23" t="str" cm="1">
        <f t="array" ref="I202">IF(B202="", "", _xlfn.TEXTJOIN(", ", TRUE, _xlfn.UNIQUE(_xlfn._xlws.FILTER(입출고대장!$I:$I, (입출고대장!$D:$D=B202)*(입출고대장!$E:$E=C202)*(입출고대장!$F:$F=D202)*(입출고대장!$I:$I&lt;&gt;""), ""))))</f>
        <v>Rocca di Frassinello</v>
      </c>
    </row>
    <row r="203" spans="1:9" ht="17.25" x14ac:dyDescent="0.3">
      <c r="A203" s="20" t="str">
        <v>이탈리아</v>
      </c>
      <c r="B203" s="21" t="str">
        <v>솔라이아</v>
      </c>
      <c r="C203" s="21">
        <v>2016</v>
      </c>
      <c r="D203" s="21" t="str">
        <v>25번랙</v>
      </c>
      <c r="E203" s="22">
        <v>2</v>
      </c>
      <c r="F203" s="22">
        <v>0</v>
      </c>
      <c r="G203" s="22">
        <v>2</v>
      </c>
      <c r="H203" s="21" t="str">
        <v>정상</v>
      </c>
      <c r="I203" s="23" t="str" cm="1">
        <f t="array" ref="I203">IF(B203="", "", _xlfn.TEXTJOIN(", ", TRUE, _xlfn.UNIQUE(_xlfn._xlws.FILTER(입출고대장!$I:$I, (입출고대장!$D:$D=B203)*(입출고대장!$E:$E=C203)*(입출고대장!$F:$F=D203)*(입출고대장!$I:$I&lt;&gt;""), ""))))</f>
        <v>Solaia</v>
      </c>
    </row>
    <row r="204" spans="1:9" ht="17.25" x14ac:dyDescent="0.3">
      <c r="A204" s="20" t="str">
        <v>이탈리아</v>
      </c>
      <c r="B204" s="21" t="str">
        <v>솔라이아</v>
      </c>
      <c r="C204" s="21">
        <v>2018</v>
      </c>
      <c r="D204" s="21" t="str">
        <v>25번랙</v>
      </c>
      <c r="E204" s="22">
        <v>6</v>
      </c>
      <c r="F204" s="22">
        <v>0</v>
      </c>
      <c r="G204" s="22">
        <v>6</v>
      </c>
      <c r="H204" s="21" t="str">
        <v>정상</v>
      </c>
      <c r="I204" s="23" t="str" cm="1">
        <f t="array" ref="I204">IF(B204="", "", _xlfn.TEXTJOIN(", ", TRUE, _xlfn.UNIQUE(_xlfn._xlws.FILTER(입출고대장!$I:$I, (입출고대장!$D:$D=B204)*(입출고대장!$E:$E=C204)*(입출고대장!$F:$F=D204)*(입출고대장!$I:$I&lt;&gt;""), ""))))</f>
        <v>Solaia</v>
      </c>
    </row>
    <row r="205" spans="1:9" ht="17.25" x14ac:dyDescent="0.3">
      <c r="A205" s="20" t="str">
        <v>이탈리아</v>
      </c>
      <c r="B205" s="21" t="str">
        <v>마세토</v>
      </c>
      <c r="C205" s="21">
        <v>2019</v>
      </c>
      <c r="D205" s="21" t="str">
        <v>26번랙</v>
      </c>
      <c r="E205" s="22">
        <v>2</v>
      </c>
      <c r="F205" s="22">
        <v>0</v>
      </c>
      <c r="G205" s="22">
        <v>2</v>
      </c>
      <c r="H205" s="21" t="str">
        <v>정상</v>
      </c>
      <c r="I205" s="23" t="str" cm="1">
        <f t="array" ref="I205">IF(B205="", "", _xlfn.TEXTJOIN(", ", TRUE, _xlfn.UNIQUE(_xlfn._xlws.FILTER(입출고대장!$I:$I, (입출고대장!$D:$D=B205)*(입출고대장!$E:$E=C205)*(입출고대장!$F:$F=D205)*(입출고대장!$I:$I&lt;&gt;""), ""))))</f>
        <v>Masseto</v>
      </c>
    </row>
    <row r="206" spans="1:9" ht="17.25" x14ac:dyDescent="0.3">
      <c r="A206" s="20" t="str">
        <v>이탈리아</v>
      </c>
      <c r="B206" s="21" t="str">
        <v>마세티노</v>
      </c>
      <c r="C206" s="21">
        <v>2020</v>
      </c>
      <c r="D206" s="21" t="str">
        <v>26번랙</v>
      </c>
      <c r="E206" s="22">
        <v>1</v>
      </c>
      <c r="F206" s="22">
        <v>0</v>
      </c>
      <c r="G206" s="22">
        <v>1</v>
      </c>
      <c r="H206" s="21" t="str">
        <v>정상</v>
      </c>
      <c r="I206" s="23" t="str" cm="1">
        <f t="array" ref="I206">IF(B206="", "", _xlfn.TEXTJOIN(", ", TRUE, _xlfn.UNIQUE(_xlfn._xlws.FILTER(입출고대장!$I:$I, (입출고대장!$D:$D=B206)*(입출고대장!$E:$E=C206)*(입출고대장!$F:$F=D206)*(입출고대장!$I:$I&lt;&gt;""), ""))))</f>
        <v>Massetino</v>
      </c>
    </row>
    <row r="207" spans="1:9" ht="17.25" x14ac:dyDescent="0.3">
      <c r="A207" s="20" t="str">
        <v>이탈리아</v>
      </c>
      <c r="B207" s="21" t="str">
        <v>마세티노</v>
      </c>
      <c r="C207" s="21">
        <v>2022</v>
      </c>
      <c r="D207" s="21" t="str">
        <v>26번랙</v>
      </c>
      <c r="E207" s="22">
        <v>2</v>
      </c>
      <c r="F207" s="22">
        <v>0</v>
      </c>
      <c r="G207" s="22">
        <v>2</v>
      </c>
      <c r="H207" s="21" t="str">
        <v>정상</v>
      </c>
      <c r="I207" s="23" t="str" cm="1">
        <f t="array" ref="I207">IF(B207="", "", _xlfn.TEXTJOIN(", ", TRUE, _xlfn.UNIQUE(_xlfn._xlws.FILTER(입출고대장!$I:$I, (입출고대장!$D:$D=B207)*(입출고대장!$E:$E=C207)*(입출고대장!$F:$F=D207)*(입출고대장!$I:$I&lt;&gt;""), ""))))</f>
        <v>Massetino</v>
      </c>
    </row>
    <row r="208" spans="1:9" ht="17.25" x14ac:dyDescent="0.3">
      <c r="A208" s="20" t="str">
        <v>이탈리아</v>
      </c>
      <c r="B208" s="21" t="str">
        <v>프레스코발디,카스텔지오콘도 리제르바 1500ml</v>
      </c>
      <c r="C208" s="21">
        <v>2010</v>
      </c>
      <c r="D208" s="21" t="str">
        <v>26번랙</v>
      </c>
      <c r="E208" s="22">
        <v>5</v>
      </c>
      <c r="F208" s="22">
        <v>0</v>
      </c>
      <c r="G208" s="22">
        <v>5</v>
      </c>
      <c r="H208" s="21" t="str">
        <v>정상</v>
      </c>
      <c r="I208" s="23" t="str" cm="1">
        <f t="array" ref="I208">IF(B208="", "", _xlfn.TEXTJOIN(", ", TRUE, _xlfn.UNIQUE(_xlfn._xlws.FILTER(입출고대장!$I:$I, (입출고대장!$D:$D=B208)*(입출고대장!$E:$E=C208)*(입출고대장!$F:$F=D208)*(입출고대장!$I:$I&lt;&gt;""), ""))))</f>
        <v>매그넘 (회식 5병 사용분)</v>
      </c>
    </row>
    <row r="209" spans="1:9" ht="17.25" x14ac:dyDescent="0.3">
      <c r="A209" s="20" t="str">
        <v>칠레</v>
      </c>
      <c r="B209" s="21" t="str">
        <v>Almaviva 알마비바</v>
      </c>
      <c r="C209" s="21">
        <v>2001</v>
      </c>
      <c r="D209" s="21" t="str">
        <v>26번랙</v>
      </c>
      <c r="E209" s="22">
        <v>6</v>
      </c>
      <c r="F209" s="22">
        <v>0</v>
      </c>
      <c r="G209" s="22">
        <v>6</v>
      </c>
      <c r="H209" s="21" t="str">
        <v>정상</v>
      </c>
      <c r="I209" s="23" t="str" cm="1">
        <f t="array" ref="I209">IF(B209="", "", _xlfn.TEXTJOIN(", ", TRUE, _xlfn.UNIQUE(_xlfn._xlws.FILTER(입출고대장!$I:$I, (입출고대장!$D:$D=B209)*(입출고대장!$E:$E=C209)*(입출고대장!$F:$F=D209)*(입출고대장!$I:$I&lt;&gt;""), ""))))</f>
        <v/>
      </c>
    </row>
    <row r="210" spans="1:9" ht="17.25" x14ac:dyDescent="0.3">
      <c r="A210" s="20" t="str">
        <v>프랑스</v>
      </c>
      <c r="B210" s="21" t="str">
        <v>륄리 1등급 블랑 라끌루</v>
      </c>
      <c r="C210" s="21">
        <v>2018</v>
      </c>
      <c r="D210" s="21" t="str">
        <v>26번랙</v>
      </c>
      <c r="E210" s="22">
        <v>6</v>
      </c>
      <c r="F210" s="22">
        <v>0</v>
      </c>
      <c r="G210" s="22">
        <v>6</v>
      </c>
      <c r="H210" s="21" t="str">
        <v>정상</v>
      </c>
      <c r="I210" s="23" t="str" cm="1">
        <f t="array" ref="I210">IF(B210="", "", _xlfn.TEXTJOIN(", ", TRUE, _xlfn.UNIQUE(_xlfn._xlws.FILTER(입출고대장!$I:$I, (입출고대장!$D:$D=B210)*(입출고대장!$E:$E=C210)*(입출고대장!$F:$F=D210)*(입출고대장!$I:$I&lt;&gt;""), ""))))</f>
        <v>륄리 1등급 블랑 라끌루</v>
      </c>
    </row>
    <row r="211" spans="1:9" ht="17.25" x14ac:dyDescent="0.3">
      <c r="A211" s="20" t="str">
        <v>프랑스</v>
      </c>
      <c r="B211" s="21" t="str">
        <v>부즈롱 알리고떼</v>
      </c>
      <c r="C211" s="21">
        <v>2020</v>
      </c>
      <c r="D211" s="21" t="str">
        <v>26번랙</v>
      </c>
      <c r="E211" s="22">
        <v>6</v>
      </c>
      <c r="F211" s="22">
        <v>0</v>
      </c>
      <c r="G211" s="22">
        <v>6</v>
      </c>
      <c r="H211" s="21" t="str">
        <v>정상</v>
      </c>
      <c r="I211" s="23" t="str" cm="1">
        <f t="array" ref="I211">IF(B211="", "", _xlfn.TEXTJOIN(", ", TRUE, _xlfn.UNIQUE(_xlfn._xlws.FILTER(입출고대장!$I:$I, (입출고대장!$D:$D=B211)*(입출고대장!$E:$E=C211)*(입출고대장!$F:$F=D211)*(입출고대장!$I:$I&lt;&gt;""), ""))))</f>
        <v>부즈롱 알리고떼</v>
      </c>
    </row>
    <row r="212" spans="1:9" ht="17.25" x14ac:dyDescent="0.3">
      <c r="A212" s="20" t="str">
        <v>프랑스</v>
      </c>
      <c r="B212" s="21" t="str">
        <v>파빌리온 루즈 샤또 마고</v>
      </c>
      <c r="C212" s="21">
        <v>2008</v>
      </c>
      <c r="D212" s="21" t="str">
        <v>26번랙</v>
      </c>
      <c r="E212" s="22">
        <v>6</v>
      </c>
      <c r="F212" s="22">
        <v>0</v>
      </c>
      <c r="G212" s="22">
        <v>6</v>
      </c>
      <c r="H212" s="21" t="str">
        <v>정상</v>
      </c>
      <c r="I212" s="23" t="str" cm="1">
        <f t="array" ref="I212">IF(B212="", "", _xlfn.TEXTJOIN(", ", TRUE, _xlfn.UNIQUE(_xlfn._xlws.FILTER(입출고대장!$I:$I, (입출고대장!$D:$D=B212)*(입출고대장!$E:$E=C212)*(입출고대장!$F:$F=D212)*(입출고대장!$I:$I&lt;&gt;""), ""))))</f>
        <v/>
      </c>
    </row>
    <row r="213" spans="1:9" ht="17.25" x14ac:dyDescent="0.3">
      <c r="A213" s="20" t="str">
        <v>스페인</v>
      </c>
      <c r="B213" s="21" t="str">
        <v>발부에나</v>
      </c>
      <c r="C213" s="21">
        <v>2001</v>
      </c>
      <c r="D213" s="21" t="str">
        <v>27번랙</v>
      </c>
      <c r="E213" s="22">
        <v>18</v>
      </c>
      <c r="F213" s="22">
        <v>0</v>
      </c>
      <c r="G213" s="22">
        <v>18</v>
      </c>
      <c r="H213" s="21" t="str">
        <v>정상</v>
      </c>
      <c r="I213" s="23" t="str" cm="1">
        <f t="array" ref="I213">IF(B213="", "", _xlfn.TEXTJOIN(", ", TRUE, _xlfn.UNIQUE(_xlfn._xlws.FILTER(입출고대장!$I:$I, (입출고대장!$D:$D=B213)*(입출고대장!$E:$E=C213)*(입출고대장!$F:$F=D213)*(입출고대장!$I:$I&lt;&gt;""), ""))))</f>
        <v>Valbuena No. 5</v>
      </c>
    </row>
    <row r="214" spans="1:9" ht="17.25" x14ac:dyDescent="0.3">
      <c r="A214" s="20" t="str">
        <v>스페인</v>
      </c>
      <c r="B214" s="21" t="str">
        <v>우니코</v>
      </c>
      <c r="C214" s="21">
        <v>2000</v>
      </c>
      <c r="D214" s="21" t="str">
        <v>27번랙</v>
      </c>
      <c r="E214" s="22">
        <v>6</v>
      </c>
      <c r="F214" s="22">
        <v>0</v>
      </c>
      <c r="G214" s="22">
        <v>6</v>
      </c>
      <c r="H214" s="21" t="str">
        <v>정상</v>
      </c>
      <c r="I214" s="23" t="str" cm="1">
        <f t="array" ref="I214">IF(B214="", "", _xlfn.TEXTJOIN(", ", TRUE, _xlfn.UNIQUE(_xlfn._xlws.FILTER(입출고대장!$I:$I, (입출고대장!$D:$D=B214)*(입출고대장!$E:$E=C214)*(입출고대장!$F:$F=D214)*(입출고대장!$I:$I&lt;&gt;""), ""))))</f>
        <v>Unico</v>
      </c>
    </row>
    <row r="215" spans="1:9" ht="17.25" x14ac:dyDescent="0.3">
      <c r="A215" s="20" t="str">
        <v>칠레</v>
      </c>
      <c r="B215" s="21" t="str">
        <v>비네도 차드윅</v>
      </c>
      <c r="C215" s="21">
        <v>2006</v>
      </c>
      <c r="D215" s="21" t="str">
        <v>27번랙</v>
      </c>
      <c r="E215" s="22">
        <v>18</v>
      </c>
      <c r="F215" s="22">
        <v>0</v>
      </c>
      <c r="G215" s="22">
        <v>18</v>
      </c>
      <c r="H215" s="21" t="str">
        <v>정상</v>
      </c>
      <c r="I215" s="23" t="str" cm="1">
        <f t="array" ref="I215">IF(B215="", "", _xlfn.TEXTJOIN(", ", TRUE, _xlfn.UNIQUE(_xlfn._xlws.FILTER(입출고대장!$I:$I, (입출고대장!$D:$D=B215)*(입출고대장!$E:$E=C215)*(입출고대장!$F:$F=D215)*(입출고대장!$I:$I&lt;&gt;""), ""))))</f>
        <v>Vinedo Chadwick</v>
      </c>
    </row>
    <row r="216" spans="1:9" ht="17.25" x14ac:dyDescent="0.3">
      <c r="A216" s="20" t="str">
        <v>미국</v>
      </c>
      <c r="B216" s="21" t="str">
        <v>My hands</v>
      </c>
      <c r="C216" s="21">
        <v>2005</v>
      </c>
      <c r="D216" s="21" t="str">
        <v>4,7번랙(천장)</v>
      </c>
      <c r="E216" s="22">
        <v>1</v>
      </c>
      <c r="F216" s="22">
        <v>0</v>
      </c>
      <c r="G216" s="22">
        <v>1</v>
      </c>
      <c r="H216" s="21" t="str">
        <v>정상</v>
      </c>
      <c r="I216" s="23" t="str" cm="1">
        <f t="array" ref="I216">IF(B216="", "", _xlfn.TEXTJOIN(", ", TRUE, _xlfn.UNIQUE(_xlfn._xlws.FILTER(입출고대장!$I:$I, (입출고대장!$D:$D=B216)*(입출고대장!$E:$E=C216)*(입출고대장!$F:$F=D216)*(입출고대장!$I:$I&lt;&gt;""), ""))))</f>
        <v/>
      </c>
    </row>
    <row r="217" spans="1:9" ht="17.25" x14ac:dyDescent="0.3">
      <c r="A217" s="20" t="str">
        <v>미국</v>
      </c>
      <c r="B217" s="21" t="str">
        <v>도미누스</v>
      </c>
      <c r="C217" s="21">
        <v>2013</v>
      </c>
      <c r="D217" s="21" t="str">
        <v>4,7번랙(천장)</v>
      </c>
      <c r="E217" s="22">
        <v>6</v>
      </c>
      <c r="F217" s="22">
        <v>0</v>
      </c>
      <c r="G217" s="22">
        <v>6</v>
      </c>
      <c r="H217" s="21" t="str">
        <v>정상</v>
      </c>
      <c r="I217" s="23" t="str" cm="1">
        <f t="array" ref="I217">IF(B217="", "", _xlfn.TEXTJOIN(", ", TRUE, _xlfn.UNIQUE(_xlfn._xlws.FILTER(입출고대장!$I:$I, (입출고대장!$D:$D=B217)*(입출고대장!$E:$E=C217)*(입출고대장!$F:$F=D217)*(입출고대장!$I:$I&lt;&gt;""), ""))))</f>
        <v>Dominus</v>
      </c>
    </row>
    <row r="218" spans="1:9" ht="17.25" x14ac:dyDescent="0.3">
      <c r="A218" s="20" t="str">
        <v>미국</v>
      </c>
      <c r="B218" s="21" t="str">
        <v>볼드멀버리</v>
      </c>
      <c r="C218" s="21">
        <v>2010</v>
      </c>
      <c r="D218" s="21" t="str">
        <v>4,7번랙(천장)</v>
      </c>
      <c r="E218" s="22">
        <v>2</v>
      </c>
      <c r="F218" s="22">
        <v>0</v>
      </c>
      <c r="G218" s="22">
        <v>2</v>
      </c>
      <c r="H218" s="21" t="str">
        <v>정상</v>
      </c>
      <c r="I218" s="23" t="str" cm="1">
        <f t="array" ref="I218">IF(B218="", "", _xlfn.TEXTJOIN(", ", TRUE, _xlfn.UNIQUE(_xlfn._xlws.FILTER(입출고대장!$I:$I, (입출고대장!$D:$D=B218)*(입출고대장!$E:$E=C218)*(입출고대장!$F:$F=D218)*(입출고대장!$I:$I&lt;&gt;""), ""))))</f>
        <v>Bald Mountain</v>
      </c>
    </row>
    <row r="219" spans="1:9" ht="17.25" x14ac:dyDescent="0.3">
      <c r="A219" s="20" t="str">
        <v>미국</v>
      </c>
      <c r="B219" s="21" t="str">
        <v>씨네퀴넌</v>
      </c>
      <c r="C219" s="21">
        <v>2010</v>
      </c>
      <c r="D219" s="21" t="str">
        <v>4,7번랙(천장)</v>
      </c>
      <c r="E219" s="22">
        <v>12</v>
      </c>
      <c r="F219" s="22">
        <v>0</v>
      </c>
      <c r="G219" s="22">
        <v>12</v>
      </c>
      <c r="H219" s="21" t="str">
        <v>정상</v>
      </c>
      <c r="I219" s="23" t="str" cm="1">
        <f t="array" ref="I219">IF(B219="", "", _xlfn.TEXTJOIN(", ", TRUE, _xlfn.UNIQUE(_xlfn._xlws.FILTER(입출고대장!$I:$I, (입출고대장!$D:$D=B219)*(입출고대장!$E:$E=C219)*(입출고대장!$F:$F=D219)*(입출고대장!$I:$I&lt;&gt;""), ""))))</f>
        <v/>
      </c>
    </row>
    <row r="220" spans="1:9" ht="17.25" x14ac:dyDescent="0.3">
      <c r="A220" s="20" t="str">
        <v>미국</v>
      </c>
      <c r="B220" s="21" t="str">
        <v>할란에스테이트</v>
      </c>
      <c r="C220" s="21">
        <v>2005</v>
      </c>
      <c r="D220" s="21" t="str">
        <v>4,7번랙(천장)</v>
      </c>
      <c r="E220" s="22">
        <v>6</v>
      </c>
      <c r="F220" s="22">
        <v>0</v>
      </c>
      <c r="G220" s="22">
        <v>6</v>
      </c>
      <c r="H220" s="21" t="str">
        <v>정상</v>
      </c>
      <c r="I220" s="23" t="str" cm="1">
        <f t="array" ref="I220">IF(B220="", "", _xlfn.TEXTJOIN(", ", TRUE, _xlfn.UNIQUE(_xlfn._xlws.FILTER(입출고대장!$I:$I, (입출고대장!$D:$D=B220)*(입출고대장!$E:$E=C220)*(입출고대장!$F:$F=D220)*(입출고대장!$I:$I&lt;&gt;""), ""))))</f>
        <v>Harlan Estate</v>
      </c>
    </row>
    <row r="221" spans="1:9" ht="17.25" x14ac:dyDescent="0.3">
      <c r="A221" s="20" t="str">
        <v>스페인</v>
      </c>
      <c r="B221" s="21" t="str">
        <v>토마스 에스테반</v>
      </c>
      <c r="C221" s="21">
        <v>2005</v>
      </c>
      <c r="D221" s="21" t="str">
        <v>4,7번랙(천장)</v>
      </c>
      <c r="E221" s="22">
        <v>1</v>
      </c>
      <c r="F221" s="22">
        <v>0</v>
      </c>
      <c r="G221" s="22">
        <v>1</v>
      </c>
      <c r="H221" s="21" t="str">
        <v>정상</v>
      </c>
      <c r="I221" s="23" t="str" cm="1">
        <f t="array" ref="I221">IF(B221="", "", _xlfn.TEXTJOIN(", ", TRUE, _xlfn.UNIQUE(_xlfn._xlws.FILTER(입출고대장!$I:$I, (입출고대장!$D:$D=B221)*(입출고대장!$E:$E=C221)*(입출고대장!$F:$F=D221)*(입출고대장!$I:$I&lt;&gt;""), ""))))</f>
        <v>Tomas Esteban</v>
      </c>
    </row>
    <row r="222" spans="1:9" ht="17.25" x14ac:dyDescent="0.3">
      <c r="A222" s="20" t="str">
        <v>스페인</v>
      </c>
      <c r="B222" s="21" t="str">
        <v>토마스 에스테반</v>
      </c>
      <c r="C222" s="21">
        <v>2006</v>
      </c>
      <c r="D222" s="21" t="str">
        <v>4,7번랙(천장)</v>
      </c>
      <c r="E222" s="22">
        <v>1</v>
      </c>
      <c r="F222" s="22">
        <v>0</v>
      </c>
      <c r="G222" s="22">
        <v>1</v>
      </c>
      <c r="H222" s="21" t="str">
        <v>정상</v>
      </c>
      <c r="I222" s="23" t="str" cm="1">
        <f t="array" ref="I222">IF(B222="", "", _xlfn.TEXTJOIN(", ", TRUE, _xlfn.UNIQUE(_xlfn._xlws.FILTER(입출고대장!$I:$I, (입출고대장!$D:$D=B222)*(입출고대장!$E:$E=C222)*(입출고대장!$F:$F=D222)*(입출고대장!$I:$I&lt;&gt;""), ""))))</f>
        <v>Tomas Esteban</v>
      </c>
    </row>
    <row r="223" spans="1:9" ht="17.25" x14ac:dyDescent="0.3">
      <c r="A223" s="20" t="str">
        <v>프랑스</v>
      </c>
      <c r="B223" s="21" t="str">
        <v>샤또 라피트 로칠드</v>
      </c>
      <c r="C223" s="21">
        <v>2001</v>
      </c>
      <c r="D223" s="21" t="str">
        <v>4,7번랙(천장)</v>
      </c>
      <c r="E223" s="22">
        <v>1</v>
      </c>
      <c r="F223" s="22">
        <v>0</v>
      </c>
      <c r="G223" s="22">
        <v>1</v>
      </c>
      <c r="H223" s="21" t="str">
        <v>정상</v>
      </c>
      <c r="I223" s="23" t="str" cm="1">
        <f t="array" ref="I223">IF(B223="", "", _xlfn.TEXTJOIN(", ", TRUE, _xlfn.UNIQUE(_xlfn._xlws.FILTER(입출고대장!$I:$I, (입출고대장!$D:$D=B223)*(입출고대장!$E:$E=C223)*(입출고대장!$F:$F=D223)*(입출고대장!$I:$I&lt;&gt;""), ""))))</f>
        <v>Ch.Lafite Rothschild</v>
      </c>
    </row>
    <row r="224" spans="1:9" ht="17.25" x14ac:dyDescent="0.3">
      <c r="A224" s="20" t="str">
        <v>프랑스</v>
      </c>
      <c r="B224" s="21" t="str">
        <v>샤또 무똥 로칠드</v>
      </c>
      <c r="C224" s="21">
        <v>2003</v>
      </c>
      <c r="D224" s="21" t="str">
        <v>4,7번랙(천장)</v>
      </c>
      <c r="E224" s="22">
        <v>1</v>
      </c>
      <c r="F224" s="22">
        <v>0</v>
      </c>
      <c r="G224" s="22">
        <v>1</v>
      </c>
      <c r="H224" s="21" t="str">
        <v>정상</v>
      </c>
      <c r="I224" s="23" t="str" cm="1">
        <f t="array" ref="I224">IF(B224="", "", _xlfn.TEXTJOIN(", ", TRUE, _xlfn.UNIQUE(_xlfn._xlws.FILTER(입출고대장!$I:$I, (입출고대장!$D:$D=B224)*(입출고대장!$E:$E=C224)*(입출고대장!$F:$F=D224)*(입출고대장!$I:$I&lt;&gt;""), ""))))</f>
        <v/>
      </c>
    </row>
    <row r="225" spans="1:9" ht="17.25" x14ac:dyDescent="0.3">
      <c r="A225" s="20" t="str">
        <v>프랑스</v>
      </c>
      <c r="B225" s="21" t="str">
        <v>샤또 무똥 로칠드</v>
      </c>
      <c r="C225" s="21">
        <v>2014</v>
      </c>
      <c r="D225" s="21" t="str">
        <v>4,7번랙(천장)</v>
      </c>
      <c r="E225" s="22">
        <v>1</v>
      </c>
      <c r="F225" s="22">
        <v>0</v>
      </c>
      <c r="G225" s="22">
        <v>1</v>
      </c>
      <c r="H225" s="21" t="str">
        <v>정상</v>
      </c>
      <c r="I225" s="23" t="str" cm="1">
        <f t="array" ref="I225">IF(B225="", "", _xlfn.TEXTJOIN(", ", TRUE, _xlfn.UNIQUE(_xlfn._xlws.FILTER(입출고대장!$I:$I, (입출고대장!$D:$D=B225)*(입출고대장!$E:$E=C225)*(입출고대장!$F:$F=D225)*(입출고대장!$I:$I&lt;&gt;""), ""))))</f>
        <v/>
      </c>
    </row>
    <row r="226" spans="1:9" ht="17.25" x14ac:dyDescent="0.3">
      <c r="A226" s="20" t="str">
        <v>프랑스</v>
      </c>
      <c r="B226" s="21" t="str">
        <v>슈발리에 몽라쉐 그랜드 크루</v>
      </c>
      <c r="C226" s="21">
        <v>2005</v>
      </c>
      <c r="D226" s="21" t="str">
        <v>4,7번랙(천장)</v>
      </c>
      <c r="E226" s="22">
        <v>1</v>
      </c>
      <c r="F226" s="22">
        <v>0</v>
      </c>
      <c r="G226" s="22">
        <v>1</v>
      </c>
      <c r="H226" s="21" t="str">
        <v>정상</v>
      </c>
      <c r="I226" s="23" t="str" cm="1">
        <f t="array" ref="I226">IF(B226="", "", _xlfn.TEXTJOIN(", ", TRUE, _xlfn.UNIQUE(_xlfn._xlws.FILTER(입출고대장!$I:$I, (입출고대장!$D:$D=B226)*(입출고대장!$E:$E=C226)*(입출고대장!$F:$F=D226)*(입출고대장!$I:$I&lt;&gt;""), ""))))</f>
        <v/>
      </c>
    </row>
    <row r="227" spans="1:9" ht="17.25" x14ac:dyDescent="0.3">
      <c r="A227" s="20" t="str">
        <v>프랑스</v>
      </c>
      <c r="B227" s="21" t="str">
        <v>슈발리에 몽라쉐 그랜드 크루</v>
      </c>
      <c r="C227" s="21">
        <v>2011</v>
      </c>
      <c r="D227" s="21" t="str">
        <v>4,7번랙(천장)</v>
      </c>
      <c r="E227" s="22">
        <v>3</v>
      </c>
      <c r="F227" s="22">
        <v>0</v>
      </c>
      <c r="G227" s="22">
        <v>3</v>
      </c>
      <c r="H227" s="21" t="str">
        <v>정상</v>
      </c>
      <c r="I227" s="23" t="str" cm="1">
        <f t="array" ref="I227">IF(B227="", "", _xlfn.TEXTJOIN(", ", TRUE, _xlfn.UNIQUE(_xlfn._xlws.FILTER(입출고대장!$I:$I, (입출고대장!$D:$D=B227)*(입출고대장!$E:$E=C227)*(입출고대장!$F:$F=D227)*(입출고대장!$I:$I&lt;&gt;""), ""))))</f>
        <v/>
      </c>
    </row>
    <row r="228" spans="1:9" ht="17.25" x14ac:dyDescent="0.3">
      <c r="A228" s="20" t="str">
        <v>프랑스</v>
      </c>
      <c r="B228" s="21" t="str">
        <v>슈발리에 몽라쉐 그랜드 크루</v>
      </c>
      <c r="C228" s="21">
        <v>2018</v>
      </c>
      <c r="D228" s="21" t="str">
        <v>4,7번랙(천장)</v>
      </c>
      <c r="E228" s="22">
        <v>3</v>
      </c>
      <c r="F228" s="22">
        <v>0</v>
      </c>
      <c r="G228" s="22">
        <v>3</v>
      </c>
      <c r="H228" s="21" t="str">
        <v>정상</v>
      </c>
      <c r="I228" s="23" t="str" cm="1">
        <f t="array" ref="I228">IF(B228="", "", _xlfn.TEXTJOIN(", ", TRUE, _xlfn.UNIQUE(_xlfn._xlws.FILTER(입출고대장!$I:$I, (입출고대장!$D:$D=B228)*(입출고대장!$E:$E=C228)*(입출고대장!$F:$F=D228)*(입출고대장!$I:$I&lt;&gt;""), ""))))</f>
        <v/>
      </c>
    </row>
    <row r="229" spans="1:9" ht="17.25" x14ac:dyDescent="0.3">
      <c r="A229" s="20" t="str">
        <v>프랑스</v>
      </c>
      <c r="B229" s="21" t="str">
        <v>슈발리에 몽라쉐 레스 푸스래스</v>
      </c>
      <c r="C229" s="21">
        <v>2012</v>
      </c>
      <c r="D229" s="21" t="str">
        <v>4,7번랙(천장)</v>
      </c>
      <c r="E229" s="22">
        <v>2</v>
      </c>
      <c r="F229" s="22">
        <v>0</v>
      </c>
      <c r="G229" s="22">
        <v>2</v>
      </c>
      <c r="H229" s="21" t="str">
        <v>정상</v>
      </c>
      <c r="I229" s="23" t="str" cm="1">
        <f t="array" ref="I229">IF(B229="", "", _xlfn.TEXTJOIN(", ", TRUE, _xlfn.UNIQUE(_xlfn._xlws.FILTER(입출고대장!$I:$I, (입출고대장!$D:$D=B229)*(입출고대장!$E:$E=C229)*(입출고대장!$F:$F=D229)*(입출고대장!$I:$I&lt;&gt;""), ""))))</f>
        <v>Les Pucelles</v>
      </c>
    </row>
    <row r="230" spans="1:9" ht="17.25" x14ac:dyDescent="0.3">
      <c r="A230" s="20" t="str">
        <v>프랑스</v>
      </c>
      <c r="B230" s="21" t="str">
        <v>슈발리에 몽라쉐 레스 푸스래스</v>
      </c>
      <c r="C230" s="21">
        <v>2013</v>
      </c>
      <c r="D230" s="21" t="str">
        <v>4,7번랙(천장)</v>
      </c>
      <c r="E230" s="22">
        <v>1</v>
      </c>
      <c r="F230" s="22">
        <v>0</v>
      </c>
      <c r="G230" s="22">
        <v>1</v>
      </c>
      <c r="H230" s="21" t="str">
        <v>정상</v>
      </c>
      <c r="I230" s="23" t="str" cm="1">
        <f t="array" ref="I230">IF(B230="", "", _xlfn.TEXTJOIN(", ", TRUE, _xlfn.UNIQUE(_xlfn._xlws.FILTER(입출고대장!$I:$I, (입출고대장!$D:$D=B230)*(입출고대장!$E:$E=C230)*(입출고대장!$F:$F=D230)*(입출고대장!$I:$I&lt;&gt;""), ""))))</f>
        <v>Les Pucelles</v>
      </c>
    </row>
    <row r="231" spans="1:9" ht="17.25" x14ac:dyDescent="0.3">
      <c r="A231" s="20" t="str">
        <v>호주</v>
      </c>
      <c r="B231" s="21" t="str">
        <v>힐 오브 그레이스 쉬라즈</v>
      </c>
      <c r="C231" s="21">
        <v>2004</v>
      </c>
      <c r="D231" s="21" t="str">
        <v>4,7번랙(천장)</v>
      </c>
      <c r="E231" s="22">
        <v>1</v>
      </c>
      <c r="F231" s="22">
        <v>0</v>
      </c>
      <c r="G231" s="22">
        <v>1</v>
      </c>
      <c r="H231" s="21" t="str">
        <v>정상</v>
      </c>
      <c r="I231" s="23" t="str" cm="1">
        <f t="array" ref="I231">IF(B231="", "", _xlfn.TEXTJOIN(", ", TRUE, _xlfn.UNIQUE(_xlfn._xlws.FILTER(입출고대장!$I:$I, (입출고대장!$D:$D=B231)*(입출고대장!$E:$E=C231)*(입출고대장!$F:$F=D231)*(입출고대장!$I:$I&lt;&gt;""), ""))))</f>
        <v>Henschke Hill of Grace</v>
      </c>
    </row>
    <row r="232" spans="1:9" ht="17.25" x14ac:dyDescent="0.3">
      <c r="A232" s="20" t="str">
        <v>미국</v>
      </c>
      <c r="B232" s="21" t="str">
        <v>조셉 펠프스 빈야드</v>
      </c>
      <c r="C232" s="21">
        <v>2012</v>
      </c>
      <c r="D232" s="21" t="str">
        <v>7층</v>
      </c>
      <c r="E232" s="22">
        <v>1</v>
      </c>
      <c r="F232" s="22">
        <v>1</v>
      </c>
      <c r="G232" s="22">
        <v>0</v>
      </c>
      <c r="H232" s="21" t="str">
        <v>재고없음</v>
      </c>
      <c r="I232" s="23" t="str" cm="1">
        <f t="array" ref="I232">IF(B232="", "", _xlfn.TEXTJOIN(", ", TRUE, _xlfn.UNIQUE(_xlfn._xlws.FILTER(입출고대장!$I:$I, (입출고대장!$D:$D=B232)*(입출고대장!$E:$E=C232)*(입출고대장!$F:$F=D232)*(입출고대장!$I:$I&lt;&gt;""), ""))))</f>
        <v/>
      </c>
    </row>
    <row r="233" spans="1:9" ht="17.25" x14ac:dyDescent="0.3">
      <c r="A233" s="20" t="str">
        <v>미국</v>
      </c>
      <c r="B233" s="21" t="str">
        <v>오퍼스원</v>
      </c>
      <c r="C233" s="21">
        <v>2010</v>
      </c>
      <c r="D233" s="21" t="str">
        <v>나라셀러박스</v>
      </c>
      <c r="E233" s="22">
        <v>3</v>
      </c>
      <c r="F233" s="22">
        <v>0</v>
      </c>
      <c r="G233" s="22">
        <v>3</v>
      </c>
      <c r="H233" s="21" t="str">
        <v>정상</v>
      </c>
      <c r="I233" s="23" t="str" cm="1">
        <f t="array" ref="I233">IF(B233="", "", _xlfn.TEXTJOIN(", ", TRUE, _xlfn.UNIQUE(_xlfn._xlws.FILTER(입출고대장!$I:$I, (입출고대장!$D:$D=B233)*(입출고대장!$E:$E=C233)*(입출고대장!$F:$F=D233)*(입출고대장!$I:$I&lt;&gt;""), ""))))</f>
        <v/>
      </c>
    </row>
    <row r="234" spans="1:9" ht="17.25" x14ac:dyDescent="0.3">
      <c r="A234" s="20" t="str">
        <v>미국</v>
      </c>
      <c r="B234" s="21" t="str">
        <v>케이머스 S.셀렉션</v>
      </c>
      <c r="C234" s="21">
        <v>2018</v>
      </c>
      <c r="D234" s="21" t="str">
        <v>나라셀러박스</v>
      </c>
      <c r="E234" s="22">
        <v>6</v>
      </c>
      <c r="F234" s="22">
        <v>0</v>
      </c>
      <c r="G234" s="22">
        <v>6</v>
      </c>
      <c r="H234" s="21" t="str">
        <v>정상</v>
      </c>
      <c r="I234" s="23" t="str" cm="1">
        <f t="array" ref="I234">IF(B234="", "", _xlfn.TEXTJOIN(", ", TRUE, _xlfn.UNIQUE(_xlfn._xlws.FILTER(입출고대장!$I:$I, (입출고대장!$D:$D=B234)*(입출고대장!$E:$E=C234)*(입출고대장!$F:$F=D234)*(입출고대장!$I:$I&lt;&gt;""), ""))))</f>
        <v/>
      </c>
    </row>
    <row r="235" spans="1:9" ht="17.25" x14ac:dyDescent="0.3">
      <c r="A235" s="20" t="str">
        <v>프랑스</v>
      </c>
      <c r="B235" s="21" t="str">
        <v>Bouchard Cor-Charl Grand Cru</v>
      </c>
      <c r="C235" s="21">
        <v>2017</v>
      </c>
      <c r="D235" s="21" t="str">
        <v>나라셀러박스</v>
      </c>
      <c r="E235" s="22">
        <v>2</v>
      </c>
      <c r="F235" s="22">
        <v>0</v>
      </c>
      <c r="G235" s="22">
        <v>2</v>
      </c>
      <c r="H235" s="21" t="str">
        <v>정상</v>
      </c>
      <c r="I235" s="23" t="str" cm="1">
        <f t="array" ref="I235">IF(B235="", "", _xlfn.TEXTJOIN(", ", TRUE, _xlfn.UNIQUE(_xlfn._xlws.FILTER(입출고대장!$I:$I, (입출고대장!$D:$D=B235)*(입출고대장!$E:$E=C235)*(입출고대장!$F:$F=D235)*(입출고대장!$I:$I&lt;&gt;""), ""))))</f>
        <v>부샤 코르통 샤를마뉴</v>
      </c>
    </row>
    <row r="236" spans="1:9" ht="17.25" x14ac:dyDescent="0.3">
      <c r="A236" s="20" t="str">
        <v>이탈리아</v>
      </c>
      <c r="B236" s="21" t="str">
        <v>Biserno</v>
      </c>
      <c r="C236" s="21">
        <v>2007</v>
      </c>
      <c r="D236" s="21" t="str">
        <v>삼도빌딩박스</v>
      </c>
      <c r="E236" s="22">
        <v>5</v>
      </c>
      <c r="F236" s="22">
        <v>0</v>
      </c>
      <c r="G236" s="22">
        <v>5</v>
      </c>
      <c r="H236" s="21" t="str">
        <v>정상</v>
      </c>
      <c r="I236" s="23" t="str" cm="1">
        <f t="array" ref="I236">IF(B236="", "", _xlfn.TEXTJOIN(", ", TRUE, _xlfn.UNIQUE(_xlfn._xlws.FILTER(입출고대장!$I:$I, (입출고대장!$D:$D=B236)*(입출고대장!$E:$E=C236)*(입출고대장!$F:$F=D236)*(입출고대장!$I:$I&lt;&gt;""), ""))))</f>
        <v/>
      </c>
    </row>
    <row r="237" spans="1:9" ht="17.25" x14ac:dyDescent="0.3">
      <c r="A237" s="20" t="str">
        <v>이탈리아</v>
      </c>
      <c r="B237" s="21" t="str">
        <v>Biserno</v>
      </c>
      <c r="C237" s="21">
        <v>2008</v>
      </c>
      <c r="D237" s="21" t="str">
        <v>삼도빌딩박스</v>
      </c>
      <c r="E237" s="22">
        <v>7</v>
      </c>
      <c r="F237" s="22">
        <v>0</v>
      </c>
      <c r="G237" s="22">
        <v>7</v>
      </c>
      <c r="H237" s="21" t="str">
        <v>정상</v>
      </c>
      <c r="I237" s="23" t="str" cm="1">
        <f t="array" ref="I237">IF(B237="", "", _xlfn.TEXTJOIN(", ", TRUE, _xlfn.UNIQUE(_xlfn._xlws.FILTER(입출고대장!$I:$I, (입출고대장!$D:$D=B237)*(입출고대장!$E:$E=C237)*(입출고대장!$F:$F=D237)*(입출고대장!$I:$I&lt;&gt;""), ""))))</f>
        <v/>
      </c>
    </row>
    <row r="238" spans="1:9" ht="17.25" x14ac:dyDescent="0.3">
      <c r="A238" s="20" t="str">
        <v>이탈리아</v>
      </c>
      <c r="B238" s="21" t="str">
        <v>Nittardrd</v>
      </c>
      <c r="C238" s="21">
        <v>2007</v>
      </c>
      <c r="D238" s="21" t="str">
        <v>삼도빌딩박스</v>
      </c>
      <c r="E238" s="22">
        <v>6</v>
      </c>
      <c r="F238" s="22">
        <v>0</v>
      </c>
      <c r="G238" s="22">
        <v>6</v>
      </c>
      <c r="H238" s="21" t="str">
        <v>정상</v>
      </c>
      <c r="I238" s="23" t="str" cm="1">
        <f t="array" ref="I238">IF(B238="", "", _xlfn.TEXTJOIN(", ", TRUE, _xlfn.UNIQUE(_xlfn._xlws.FILTER(입출고대장!$I:$I, (입출고대장!$D:$D=B238)*(입출고대장!$E:$E=C238)*(입출고대장!$F:$F=D238)*(입출고대장!$I:$I&lt;&gt;""), ""))))</f>
        <v/>
      </c>
    </row>
    <row r="239" spans="1:9" ht="17.25" x14ac:dyDescent="0.3">
      <c r="A239" s="20" t="str">
        <v>이탈리아</v>
      </c>
      <c r="B239" s="21" t="str">
        <v>Nittardrd</v>
      </c>
      <c r="C239" s="21">
        <v>2008</v>
      </c>
      <c r="D239" s="21" t="str">
        <v>삼도빌딩박스</v>
      </c>
      <c r="E239" s="22">
        <v>6</v>
      </c>
      <c r="F239" s="22">
        <v>0</v>
      </c>
      <c r="G239" s="22">
        <v>6</v>
      </c>
      <c r="H239" s="21" t="str">
        <v>정상</v>
      </c>
      <c r="I239" s="23" t="str" cm="1">
        <f t="array" ref="I239">IF(B239="", "", _xlfn.TEXTJOIN(", ", TRUE, _xlfn.UNIQUE(_xlfn._xlws.FILTER(입출고대장!$I:$I, (입출고대장!$D:$D=B239)*(입출고대장!$E:$E=C239)*(입출고대장!$F:$F=D239)*(입출고대장!$I:$I&lt;&gt;""), ""))))</f>
        <v/>
      </c>
    </row>
    <row r="240" spans="1:9" ht="17.25" x14ac:dyDescent="0.3">
      <c r="A240" s="20" t="str">
        <v>이탈리아</v>
      </c>
      <c r="B240" s="21" t="str">
        <v>몬테 안티코</v>
      </c>
      <c r="C240" s="21">
        <v>2006</v>
      </c>
      <c r="D240" s="21" t="str">
        <v>삼도빌딩박스</v>
      </c>
      <c r="E240" s="22">
        <v>1</v>
      </c>
      <c r="F240" s="22">
        <v>0</v>
      </c>
      <c r="G240" s="22">
        <v>1</v>
      </c>
      <c r="H240" s="21" t="str">
        <v>정상</v>
      </c>
      <c r="I240" s="23" t="str" cm="1">
        <f t="array" ref="I240">IF(B240="", "", _xlfn.TEXTJOIN(", ", TRUE, _xlfn.UNIQUE(_xlfn._xlws.FILTER(입출고대장!$I:$I, (입출고대장!$D:$D=B240)*(입출고대장!$E:$E=C240)*(입출고대장!$F:$F=D240)*(입출고대장!$I:$I&lt;&gt;""), ""))))</f>
        <v>Monte Antico</v>
      </c>
    </row>
    <row r="241" spans="1:9" ht="17.25" x14ac:dyDescent="0.3">
      <c r="A241" s="20" t="str">
        <v>이탈리아</v>
      </c>
      <c r="B241" s="21" t="str">
        <v>팔라찌 테누타 디 트리노로 로쏘 토스카나</v>
      </c>
      <c r="C241" s="21">
        <v>2015</v>
      </c>
      <c r="D241" s="21" t="str">
        <v>삼도빌딩박스</v>
      </c>
      <c r="E241" s="22">
        <v>6</v>
      </c>
      <c r="F241" s="22">
        <v>0</v>
      </c>
      <c r="G241" s="22">
        <v>6</v>
      </c>
      <c r="H241" s="21" t="str">
        <v>정상</v>
      </c>
      <c r="I241" s="23" t="str" cm="1">
        <f t="array" ref="I241">IF(B241="", "", _xlfn.TEXTJOIN(", ", TRUE, _xlfn.UNIQUE(_xlfn._xlws.FILTER(입출고대장!$I:$I, (입출고대장!$D:$D=B241)*(입출고대장!$E:$E=C241)*(입출고대장!$F:$F=D241)*(입출고대장!$I:$I&lt;&gt;""), ""))))</f>
        <v/>
      </c>
    </row>
    <row r="242" spans="1:9" ht="17.25" x14ac:dyDescent="0.3">
      <c r="A242" s="20" t="str">
        <v>프랑스</v>
      </c>
      <c r="B242" s="21" t="str">
        <v>돔페리뇽 1500ml</v>
      </c>
      <c r="C242" s="21">
        <v>2003</v>
      </c>
      <c r="D242" s="21" t="str">
        <v>샴페인박스(1)</v>
      </c>
      <c r="E242" s="22">
        <v>12</v>
      </c>
      <c r="F242" s="22">
        <v>0</v>
      </c>
      <c r="G242" s="22">
        <v>12</v>
      </c>
      <c r="H242" s="21" t="str">
        <v>정상</v>
      </c>
      <c r="I242" s="23" t="str" cm="1">
        <f t="array" ref="I242">IF(B242="", "", _xlfn.TEXTJOIN(", ", TRUE, _xlfn.UNIQUE(_xlfn._xlws.FILTER(입출고대장!$I:$I, (입출고대장!$D:$D=B242)*(입출고대장!$E:$E=C242)*(입출고대장!$F:$F=D242)*(입출고대장!$I:$I&lt;&gt;""), ""))))</f>
        <v>매그넘</v>
      </c>
    </row>
    <row r="243" spans="1:9" ht="17.25" x14ac:dyDescent="0.3">
      <c r="A243" s="20" t="str">
        <v>프랑스</v>
      </c>
      <c r="B243" s="21" t="str">
        <v>돔페리뇽 1500ml</v>
      </c>
      <c r="C243" s="21">
        <v>2004</v>
      </c>
      <c r="D243" s="21" t="str">
        <v>샴페인박스(1)</v>
      </c>
      <c r="E243" s="22">
        <v>3</v>
      </c>
      <c r="F243" s="22">
        <v>0</v>
      </c>
      <c r="G243" s="22">
        <v>3</v>
      </c>
      <c r="H243" s="21" t="str">
        <v>정상</v>
      </c>
      <c r="I243" s="23" t="str" cm="1">
        <f t="array" ref="I243">IF(B243="", "", _xlfn.TEXTJOIN(", ", TRUE, _xlfn.UNIQUE(_xlfn._xlws.FILTER(입출고대장!$I:$I, (입출고대장!$D:$D=B243)*(입출고대장!$E:$E=C243)*(입출고대장!$F:$F=D243)*(입출고대장!$I:$I&lt;&gt;""), ""))))</f>
        <v>매그넘</v>
      </c>
    </row>
    <row r="244" spans="1:9" ht="17.25" x14ac:dyDescent="0.3">
      <c r="A244" s="20" t="str">
        <v>프랑스</v>
      </c>
      <c r="B244" s="21" t="str">
        <v>돔페리뇽 750ml</v>
      </c>
      <c r="C244" s="21">
        <v>2000</v>
      </c>
      <c r="D244" s="21" t="str">
        <v>샴페인박스(1)</v>
      </c>
      <c r="E244" s="22">
        <v>12</v>
      </c>
      <c r="F244" s="22">
        <v>0</v>
      </c>
      <c r="G244" s="22">
        <v>12</v>
      </c>
      <c r="H244" s="21" t="str">
        <v>정상</v>
      </c>
      <c r="I244" s="23" t="str" cm="1">
        <f t="array" ref="I244">IF(B244="", "", _xlfn.TEXTJOIN(", ", TRUE, _xlfn.UNIQUE(_xlfn._xlws.FILTER(입출고대장!$I:$I, (입출고대장!$D:$D=B244)*(입출고대장!$E:$E=C244)*(입출고대장!$F:$F=D244)*(입출고대장!$I:$I&lt;&gt;""), ""))))</f>
        <v>샴페인</v>
      </c>
    </row>
    <row r="245" spans="1:9" ht="17.25" x14ac:dyDescent="0.3">
      <c r="A245" s="20" t="str">
        <v>프랑스</v>
      </c>
      <c r="B245" s="21" t="str">
        <v>돔페리뇽 750ml</v>
      </c>
      <c r="C245" s="21">
        <v>2002</v>
      </c>
      <c r="D245" s="21" t="str">
        <v>샴페인박스(1)</v>
      </c>
      <c r="E245" s="22">
        <v>12</v>
      </c>
      <c r="F245" s="22">
        <v>0</v>
      </c>
      <c r="G245" s="22">
        <v>12</v>
      </c>
      <c r="H245" s="21" t="str">
        <v>정상</v>
      </c>
      <c r="I245" s="23" t="str" cm="1">
        <f t="array" ref="I245">IF(B245="", "", _xlfn.TEXTJOIN(", ", TRUE, _xlfn.UNIQUE(_xlfn._xlws.FILTER(입출고대장!$I:$I, (입출고대장!$D:$D=B245)*(입출고대장!$E:$E=C245)*(입출고대장!$F:$F=D245)*(입출고대장!$I:$I&lt;&gt;""), ""))))</f>
        <v>샴페인</v>
      </c>
    </row>
    <row r="246" spans="1:9" ht="17.25" x14ac:dyDescent="0.3">
      <c r="A246" s="20" t="str">
        <v>이탈리아</v>
      </c>
      <c r="B246" s="21" t="str">
        <v>Luce 1800ml</v>
      </c>
      <c r="C246" s="21">
        <v>2012</v>
      </c>
      <c r="D246" s="21" t="str">
        <v>샴페인박스(2)</v>
      </c>
      <c r="E246" s="22">
        <v>1</v>
      </c>
      <c r="F246" s="22">
        <v>0</v>
      </c>
      <c r="G246" s="22">
        <v>1</v>
      </c>
      <c r="H246" s="21" t="str">
        <v>정상</v>
      </c>
      <c r="I246" s="23" t="str" cm="1">
        <f t="array" ref="I246">IF(B246="", "", _xlfn.TEXTJOIN(", ", TRUE, _xlfn.UNIQUE(_xlfn._xlws.FILTER(입출고대장!$I:$I, (입출고대장!$D:$D=B246)*(입출고대장!$E:$E=C246)*(입출고대장!$F:$F=D246)*(입출고대장!$I:$I&lt;&gt;""), ""))))</f>
        <v>매그넘</v>
      </c>
    </row>
    <row r="247" spans="1:9" ht="17.25" x14ac:dyDescent="0.3">
      <c r="A247" s="20" t="str">
        <v>프랑스</v>
      </c>
      <c r="B247" s="21" t="str">
        <v>Bollinger Spectre James Bond 007 3L</v>
      </c>
      <c r="C247" s="21">
        <v>2009</v>
      </c>
      <c r="D247" s="21" t="str">
        <v>샴페인박스(2)</v>
      </c>
      <c r="E247" s="22">
        <v>2</v>
      </c>
      <c r="F247" s="22">
        <v>0</v>
      </c>
      <c r="G247" s="22">
        <v>2</v>
      </c>
      <c r="H247" s="21" t="str">
        <v>정상</v>
      </c>
      <c r="I247" s="23" t="str" cm="1">
        <f t="array" ref="I247">IF(B247="", "", _xlfn.TEXTJOIN(", ", TRUE, _xlfn.UNIQUE(_xlfn._xlws.FILTER(입출고대장!$I:$I, (입출고대장!$D:$D=B247)*(입출고대장!$E:$E=C247)*(입출고대장!$F:$F=D247)*(입출고대장!$I:$I&lt;&gt;""), ""))))</f>
        <v>3L 더블매그넘</v>
      </c>
    </row>
    <row r="248" spans="1:9" ht="17.25" x14ac:dyDescent="0.3">
      <c r="A248" s="20" t="str">
        <v>프랑스</v>
      </c>
      <c r="B248" s="21" t="str">
        <v>Capitain Gagnerot Corton Charlemagne Grand Cru White</v>
      </c>
      <c r="C248" s="21">
        <v>2018</v>
      </c>
      <c r="D248" s="21" t="str">
        <v>샴페인박스(2)</v>
      </c>
      <c r="E248" s="22">
        <v>12</v>
      </c>
      <c r="F248" s="22">
        <v>0</v>
      </c>
      <c r="G248" s="22">
        <v>12</v>
      </c>
      <c r="H248" s="21" t="str">
        <v>정상</v>
      </c>
      <c r="I248" s="23" t="str" cm="1">
        <f t="array" ref="I248">IF(B248="", "", _xlfn.TEXTJOIN(", ", TRUE, _xlfn.UNIQUE(_xlfn._xlws.FILTER(입출고대장!$I:$I, (입출고대장!$D:$D=B248)*(입출고대장!$E:$E=C248)*(입출고대장!$F:$F=D248)*(입출고대장!$I:$I&lt;&gt;""), ""))))</f>
        <v>카피탱 가녜로 코르통 샤를마뉴</v>
      </c>
    </row>
    <row r="249" spans="1:9" ht="17.25" x14ac:dyDescent="0.3">
      <c r="A249" s="20" t="str">
        <v>프랑스</v>
      </c>
      <c r="B249" s="21" t="str">
        <v>도메인 듀 꾸벙 샹볼 뮈지니 40 우브레</v>
      </c>
      <c r="C249" s="21">
        <v>2018</v>
      </c>
      <c r="D249" s="21" t="str">
        <v>샴페인박스(2)</v>
      </c>
      <c r="E249" s="22">
        <v>12</v>
      </c>
      <c r="F249" s="22">
        <v>0</v>
      </c>
      <c r="G249" s="22">
        <v>12</v>
      </c>
      <c r="H249" s="21" t="str">
        <v>정상</v>
      </c>
      <c r="I249" s="23" t="str" cm="1">
        <f t="array" ref="I249">IF(B249="", "", _xlfn.TEXTJOIN(", ", TRUE, _xlfn.UNIQUE(_xlfn._xlws.FILTER(입출고대장!$I:$I, (입출고대장!$D:$D=B249)*(입출고대장!$E:$E=C249)*(입출고대장!$F:$F=D249)*(입출고대장!$I:$I&lt;&gt;""), ""))))</f>
        <v>도멘 듀 꾸벙 샹볼 뮈지니</v>
      </c>
    </row>
    <row r="250" spans="1:9" ht="17.25" x14ac:dyDescent="0.3">
      <c r="A250" s="20" t="str">
        <v>프랑스</v>
      </c>
      <c r="B250" s="21" t="str">
        <v>볼랭저 그랑아네 1500ml</v>
      </c>
      <c r="C250" s="21">
        <v>2000</v>
      </c>
      <c r="D250" s="21" t="str">
        <v>샴페인박스(2)</v>
      </c>
      <c r="E250" s="22">
        <v>19</v>
      </c>
      <c r="F250" s="22">
        <v>0</v>
      </c>
      <c r="G250" s="22">
        <v>19</v>
      </c>
      <c r="H250" s="21" t="str">
        <v>정상</v>
      </c>
      <c r="I250" s="23" t="str" cm="1">
        <f t="array" ref="I250">IF(B250="", "", _xlfn.TEXTJOIN(", ", TRUE, _xlfn.UNIQUE(_xlfn._xlws.FILTER(입출고대장!$I:$I, (입출고대장!$D:$D=B250)*(입출고대장!$E:$E=C250)*(입출고대장!$F:$F=D250)*(입출고대장!$I:$I&lt;&gt;""), ""))))</f>
        <v>매그넘</v>
      </c>
    </row>
    <row r="251" spans="1:9" ht="17.25" x14ac:dyDescent="0.3">
      <c r="A251" s="20" t="str">
        <v>프랑스</v>
      </c>
      <c r="B251" s="21" t="str">
        <v>샤또 드 보까스텔, 샤또네프 뒤 빠쁘 루즈 1500ml</v>
      </c>
      <c r="C251" s="21">
        <v>2009</v>
      </c>
      <c r="D251" s="21" t="str">
        <v>샴페인박스(2)</v>
      </c>
      <c r="E251" s="22">
        <v>6</v>
      </c>
      <c r="F251" s="22">
        <v>0</v>
      </c>
      <c r="G251" s="22">
        <v>6</v>
      </c>
      <c r="H251" s="21" t="str">
        <v>정상</v>
      </c>
      <c r="I251" s="23" t="str" cm="1">
        <f t="array" ref="I251">IF(B251="", "", _xlfn.TEXTJOIN(", ", TRUE, _xlfn.UNIQUE(_xlfn._xlws.FILTER(입출고대장!$I:$I, (입출고대장!$D:$D=B251)*(입출고대장!$E:$E=C251)*(입출고대장!$F:$F=D251)*(입출고대장!$I:$I&lt;&gt;""), ""))))</f>
        <v>매그넘</v>
      </c>
    </row>
    <row r="252" spans="1:9" ht="17.25" x14ac:dyDescent="0.3">
      <c r="A252" s="20" t="str">
        <v>프랑스</v>
      </c>
      <c r="B252" s="21" t="str">
        <v>샤또 드 보까스텔, 샤또네프 뒤 빠쁘 루즈 1500ml</v>
      </c>
      <c r="C252" s="21">
        <v>2010</v>
      </c>
      <c r="D252" s="21" t="str">
        <v>샴페인박스(2)</v>
      </c>
      <c r="E252" s="22">
        <v>6</v>
      </c>
      <c r="F252" s="22">
        <v>0</v>
      </c>
      <c r="G252" s="22">
        <v>6</v>
      </c>
      <c r="H252" s="21" t="str">
        <v>정상</v>
      </c>
      <c r="I252" s="23" t="str" cm="1">
        <f t="array" ref="I252">IF(B252="", "", _xlfn.TEXTJOIN(", ", TRUE, _xlfn.UNIQUE(_xlfn._xlws.FILTER(입출고대장!$I:$I, (입출고대장!$D:$D=B252)*(입출고대장!$E:$E=C252)*(입출고대장!$F:$F=D252)*(입출고대장!$I:$I&lt;&gt;""), ""))))</f>
        <v>매그넘</v>
      </c>
    </row>
    <row r="253" spans="1:9" ht="17.25" x14ac:dyDescent="0.3">
      <c r="A253" s="20" t="str">
        <v>프랑스</v>
      </c>
      <c r="B253" s="21" t="str">
        <v>샤또 드 보까스텔, 샤또네프 뒤 빠쁘 루즈 3000ml</v>
      </c>
      <c r="C253" s="21">
        <v>2009</v>
      </c>
      <c r="D253" s="21" t="str">
        <v>샴페인박스(2)</v>
      </c>
      <c r="E253" s="22">
        <v>2</v>
      </c>
      <c r="F253" s="22">
        <v>0</v>
      </c>
      <c r="G253" s="22">
        <v>2</v>
      </c>
      <c r="H253" s="21" t="str">
        <v>정상</v>
      </c>
      <c r="I253" s="23" t="str" cm="1">
        <f t="array" ref="I253">IF(B253="", "", _xlfn.TEXTJOIN(", ", TRUE, _xlfn.UNIQUE(_xlfn._xlws.FILTER(입출고대장!$I:$I, (입출고대장!$D:$D=B253)*(입출고대장!$E:$E=C253)*(입출고대장!$F:$F=D253)*(입출고대장!$I:$I&lt;&gt;""), ""))))</f>
        <v>더블매그넘</v>
      </c>
    </row>
    <row r="254" spans="1:9" ht="17.25" x14ac:dyDescent="0.3">
      <c r="A254" s="20" t="str">
        <v>미국</v>
      </c>
      <c r="B254" s="21" t="str">
        <v>나파벨리 까베르네 쇼비뇽 리져브</v>
      </c>
      <c r="C254" s="21">
        <v>2001</v>
      </c>
      <c r="D254" s="21" t="str">
        <v>중앙랙</v>
      </c>
      <c r="E254" s="22">
        <v>1</v>
      </c>
      <c r="F254" s="22">
        <v>0</v>
      </c>
      <c r="G254" s="22">
        <v>1</v>
      </c>
      <c r="H254" s="21" t="str">
        <v>정상</v>
      </c>
      <c r="I254" s="23" t="str" cm="1">
        <f t="array" ref="I254">IF(B254="", "", _xlfn.TEXTJOIN(", ", TRUE, _xlfn.UNIQUE(_xlfn._xlws.FILTER(입출고대장!$I:$I, (입출고대장!$D:$D=B254)*(입출고대장!$E:$E=C254)*(입출고대장!$F:$F=D254)*(입출고대장!$I:$I&lt;&gt;""), ""))))</f>
        <v/>
      </c>
    </row>
    <row r="255" spans="1:9" ht="17.25" x14ac:dyDescent="0.3">
      <c r="A255" s="20" t="str">
        <v>미국</v>
      </c>
      <c r="B255" s="21" t="str">
        <v>씨네퀴넌</v>
      </c>
      <c r="C255" s="21">
        <v>2012</v>
      </c>
      <c r="D255" s="21" t="str">
        <v>중앙랙</v>
      </c>
      <c r="E255" s="22">
        <v>1</v>
      </c>
      <c r="F255" s="22">
        <v>0</v>
      </c>
      <c r="G255" s="22">
        <v>1</v>
      </c>
      <c r="H255" s="21" t="str">
        <v>정상</v>
      </c>
      <c r="I255" s="23" t="str" cm="1">
        <f t="array" ref="I255">IF(B255="", "", _xlfn.TEXTJOIN(", ", TRUE, _xlfn.UNIQUE(_xlfn._xlws.FILTER(입출고대장!$I:$I, (입출고대장!$D:$D=B255)*(입출고대장!$E:$E=C255)*(입출고대장!$F:$F=D255)*(입출고대장!$I:$I&lt;&gt;""), ""))))</f>
        <v/>
      </c>
    </row>
    <row r="256" spans="1:9" ht="17.25" x14ac:dyDescent="0.3">
      <c r="A256" s="20" t="str">
        <v>미국</v>
      </c>
      <c r="B256" s="21" t="str">
        <v>씨네퀴넌</v>
      </c>
      <c r="C256" s="21">
        <v>2013</v>
      </c>
      <c r="D256" s="21" t="str">
        <v>중앙랙</v>
      </c>
      <c r="E256" s="22">
        <v>1</v>
      </c>
      <c r="F256" s="22">
        <v>0</v>
      </c>
      <c r="G256" s="22">
        <v>1</v>
      </c>
      <c r="H256" s="21" t="str">
        <v>정상</v>
      </c>
      <c r="I256" s="23" t="str" cm="1">
        <f t="array" ref="I256">IF(B256="", "", _xlfn.TEXTJOIN(", ", TRUE, _xlfn.UNIQUE(_xlfn._xlws.FILTER(입출고대장!$I:$I, (입출고대장!$D:$D=B256)*(입출고대장!$E:$E=C256)*(입출고대장!$F:$F=D256)*(입출고대장!$I:$I&lt;&gt;""), ""))))</f>
        <v/>
      </c>
    </row>
    <row r="257" spans="1:9" ht="17.25" x14ac:dyDescent="0.3">
      <c r="A257" s="20" t="str">
        <v>미국</v>
      </c>
      <c r="B257" s="21" t="str">
        <v>아나코타 몬타나 까베르네 쇼비뇽</v>
      </c>
      <c r="C257" s="21">
        <v>2018</v>
      </c>
      <c r="D257" s="21" t="str">
        <v>중앙랙</v>
      </c>
      <c r="E257" s="22">
        <v>1</v>
      </c>
      <c r="F257" s="22">
        <v>0</v>
      </c>
      <c r="G257" s="22">
        <v>1</v>
      </c>
      <c r="H257" s="21" t="str">
        <v>정상</v>
      </c>
      <c r="I257" s="23" t="str" cm="1">
        <f t="array" ref="I257">IF(B257="", "", _xlfn.TEXTJOIN(", ", TRUE, _xlfn.UNIQUE(_xlfn._xlws.FILTER(입출고대장!$I:$I, (입출고대장!$D:$D=B257)*(입출고대장!$E:$E=C257)*(입출고대장!$F:$F=D257)*(입출고대장!$I:$I&lt;&gt;""), ""))))</f>
        <v/>
      </c>
    </row>
    <row r="258" spans="1:9" ht="17.25" x14ac:dyDescent="0.3">
      <c r="A258" s="20" t="str">
        <v>미국</v>
      </c>
      <c r="B258" s="21" t="str">
        <v>하이츠 마르따스 빈야드 카버네 소비뇽</v>
      </c>
      <c r="C258" s="21">
        <v>2017</v>
      </c>
      <c r="D258" s="21" t="str">
        <v>중앙랙</v>
      </c>
      <c r="E258" s="22">
        <v>1</v>
      </c>
      <c r="F258" s="22">
        <v>0</v>
      </c>
      <c r="G258" s="22">
        <v>1</v>
      </c>
      <c r="H258" s="21" t="str">
        <v>정상</v>
      </c>
      <c r="I258" s="23" t="str" cm="1">
        <f t="array" ref="I258">IF(B258="", "", _xlfn.TEXTJOIN(", ", TRUE, _xlfn.UNIQUE(_xlfn._xlws.FILTER(입출고대장!$I:$I, (입출고대장!$D:$D=B258)*(입출고대장!$E:$E=C258)*(입출고대장!$F:$F=D258)*(입출고대장!$I:$I&lt;&gt;""), ""))))</f>
        <v/>
      </c>
    </row>
    <row r="259" spans="1:9" ht="17.25" x14ac:dyDescent="0.3">
      <c r="A259" s="20" t="str">
        <v>스페인</v>
      </c>
      <c r="B259" s="21" t="str">
        <v>삔띠아</v>
      </c>
      <c r="C259" s="21">
        <v>2006</v>
      </c>
      <c r="D259" s="21" t="str">
        <v>중앙랙</v>
      </c>
      <c r="E259" s="22">
        <v>1</v>
      </c>
      <c r="F259" s="22">
        <v>0</v>
      </c>
      <c r="G259" s="22">
        <v>1</v>
      </c>
      <c r="H259" s="21" t="str">
        <v>정상</v>
      </c>
      <c r="I259" s="23" t="str" cm="1">
        <f t="array" ref="I259">IF(B259="", "", _xlfn.TEXTJOIN(", ", TRUE, _xlfn.UNIQUE(_xlfn._xlws.FILTER(입출고대장!$I:$I, (입출고대장!$D:$D=B259)*(입출고대장!$E:$E=C259)*(입출고대장!$F:$F=D259)*(입출고대장!$I:$I&lt;&gt;""), ""))))</f>
        <v/>
      </c>
    </row>
    <row r="260" spans="1:9" ht="17.25" x14ac:dyDescent="0.3">
      <c r="A260" s="20" t="str">
        <v>이탈리아</v>
      </c>
      <c r="B260" s="21" t="str">
        <v>사시까이아</v>
      </c>
      <c r="C260" s="21">
        <v>2021</v>
      </c>
      <c r="D260" s="21" t="str">
        <v>중앙랙</v>
      </c>
      <c r="E260" s="22">
        <v>1</v>
      </c>
      <c r="F260" s="22">
        <v>0</v>
      </c>
      <c r="G260" s="22">
        <v>1</v>
      </c>
      <c r="H260" s="21" t="str">
        <v>정상</v>
      </c>
      <c r="I260" s="23" t="str" cm="1">
        <f t="array" ref="I260">IF(B260="", "", _xlfn.TEXTJOIN(", ", TRUE, _xlfn.UNIQUE(_xlfn._xlws.FILTER(입출고대장!$I:$I, (입출고대장!$D:$D=B260)*(입출고대장!$E:$E=C260)*(입출고대장!$F:$F=D260)*(입출고대장!$I:$I&lt;&gt;""), ""))))</f>
        <v/>
      </c>
    </row>
    <row r="261" spans="1:9" ht="17.25" x14ac:dyDescent="0.3">
      <c r="A261" s="20" t="str">
        <v>칠레</v>
      </c>
      <c r="B261" s="21" t="str">
        <v>세냐</v>
      </c>
      <c r="C261" s="21">
        <v>2020</v>
      </c>
      <c r="D261" s="21" t="str">
        <v>중앙랙</v>
      </c>
      <c r="E261" s="22">
        <v>1</v>
      </c>
      <c r="F261" s="22">
        <v>0</v>
      </c>
      <c r="G261" s="22">
        <v>1</v>
      </c>
      <c r="H261" s="21" t="str">
        <v>정상</v>
      </c>
      <c r="I261" s="23" t="str" cm="1">
        <f t="array" ref="I261">IF(B261="", "", _xlfn.TEXTJOIN(", ", TRUE, _xlfn.UNIQUE(_xlfn._xlws.FILTER(입출고대장!$I:$I, (입출고대장!$D:$D=B261)*(입출고대장!$E:$E=C261)*(입출고대장!$F:$F=D261)*(입출고대장!$I:$I&lt;&gt;""), ""))))</f>
        <v/>
      </c>
    </row>
    <row r="262" spans="1:9" ht="17.25" x14ac:dyDescent="0.3">
      <c r="A262" s="20" t="str">
        <v>프랑스</v>
      </c>
      <c r="B262" s="21" t="str">
        <v>꼬뜨 드 뉘 빌라쥬 오 풀크</v>
      </c>
      <c r="C262" s="21">
        <v>2022</v>
      </c>
      <c r="D262" s="21" t="str">
        <v>중앙랙</v>
      </c>
      <c r="E262" s="22">
        <v>1</v>
      </c>
      <c r="F262" s="22">
        <v>0</v>
      </c>
      <c r="G262" s="22">
        <v>1</v>
      </c>
      <c r="H262" s="21" t="str">
        <v>정상</v>
      </c>
      <c r="I262" s="23" t="str" cm="1">
        <f t="array" ref="I262">IF(B262="", "", _xlfn.TEXTJOIN(", ", TRUE, _xlfn.UNIQUE(_xlfn._xlws.FILTER(입출고대장!$I:$I, (입출고대장!$D:$D=B262)*(입출고대장!$E:$E=C262)*(입출고대장!$F:$F=D262)*(입출고대장!$I:$I&lt;&gt;""), ""))))</f>
        <v/>
      </c>
    </row>
    <row r="263" spans="1:9" ht="17.25" x14ac:dyDescent="0.3">
      <c r="A263" s="20" t="str">
        <v>프랑스</v>
      </c>
      <c r="B263" s="21" t="str">
        <v>뀌베 마르게릿</v>
      </c>
      <c r="C263" s="21">
        <v>2018</v>
      </c>
      <c r="D263" s="21" t="str">
        <v>중앙랙</v>
      </c>
      <c r="E263" s="22">
        <v>1</v>
      </c>
      <c r="F263" s="22">
        <v>0</v>
      </c>
      <c r="G263" s="22">
        <v>1</v>
      </c>
      <c r="H263" s="21" t="str">
        <v>정상</v>
      </c>
      <c r="I263" s="23" t="str" cm="1">
        <f t="array" ref="I263">IF(B263="", "", _xlfn.TEXTJOIN(", ", TRUE, _xlfn.UNIQUE(_xlfn._xlws.FILTER(입출고대장!$I:$I, (입출고대장!$D:$D=B263)*(입출고대장!$E:$E=C263)*(입출고대장!$F:$F=D263)*(입출고대장!$I:$I&lt;&gt;""), ""))))</f>
        <v/>
      </c>
    </row>
    <row r="264" spans="1:9" ht="17.25" x14ac:dyDescent="0.3">
      <c r="A264" s="20" t="str">
        <v>프랑스</v>
      </c>
      <c r="B264" s="21" t="str">
        <v>도메인 듀 꾸벙 샹볼 뮈지니 40 우브레</v>
      </c>
      <c r="C264" s="21">
        <v>2018</v>
      </c>
      <c r="D264" s="21" t="str">
        <v>중앙랙</v>
      </c>
      <c r="E264" s="22">
        <v>1</v>
      </c>
      <c r="F264" s="22">
        <v>0</v>
      </c>
      <c r="G264" s="22">
        <v>1</v>
      </c>
      <c r="H264" s="21" t="str">
        <v>정상</v>
      </c>
      <c r="I264" s="23" t="str" cm="1">
        <f t="array" ref="I264">IF(B264="", "", _xlfn.TEXTJOIN(", ", TRUE, _xlfn.UNIQUE(_xlfn._xlws.FILTER(입출고대장!$I:$I, (입출고대장!$D:$D=B264)*(입출고대장!$E:$E=C264)*(입출고대장!$F:$F=D264)*(입출고대장!$I:$I&lt;&gt;""), ""))))</f>
        <v/>
      </c>
    </row>
    <row r="265" spans="1:9" ht="17.25" x14ac:dyDescent="0.3">
      <c r="A265" s="20" t="str">
        <v>프랑스</v>
      </c>
      <c r="B265" s="21" t="str">
        <v>루이 라투르 코통 샤를마뉴 그랑크뤼</v>
      </c>
      <c r="C265" s="21">
        <v>2018</v>
      </c>
      <c r="D265" s="21" t="str">
        <v>중앙랙</v>
      </c>
      <c r="E265" s="22">
        <v>1</v>
      </c>
      <c r="F265" s="22">
        <v>0</v>
      </c>
      <c r="G265" s="22">
        <v>1</v>
      </c>
      <c r="H265" s="21" t="str">
        <v>정상</v>
      </c>
      <c r="I265" s="23" t="str" cm="1">
        <f t="array" ref="I265">IF(B265="", "", _xlfn.TEXTJOIN(", ", TRUE, _xlfn.UNIQUE(_xlfn._xlws.FILTER(입출고대장!$I:$I, (입출고대장!$D:$D=B265)*(입출고대장!$E:$E=C265)*(입출고대장!$F:$F=D265)*(입출고대장!$I:$I&lt;&gt;""), ""))))</f>
        <v/>
      </c>
    </row>
    <row r="266" spans="1:9" ht="17.25" x14ac:dyDescent="0.3">
      <c r="A266" s="20" t="str">
        <v>프랑스</v>
      </c>
      <c r="B266" s="21" t="str">
        <v>막사네 뀌베 살리(블랑)</v>
      </c>
      <c r="C266" s="21">
        <v>2023</v>
      </c>
      <c r="D266" s="21" t="str">
        <v>중앙랙</v>
      </c>
      <c r="E266" s="22">
        <v>1</v>
      </c>
      <c r="F266" s="22">
        <v>0</v>
      </c>
      <c r="G266" s="22">
        <v>1</v>
      </c>
      <c r="H266" s="21" t="str">
        <v>정상</v>
      </c>
      <c r="I266" s="23" t="str" cm="1">
        <f t="array" ref="I266">IF(B266="", "", _xlfn.TEXTJOIN(", ", TRUE, _xlfn.UNIQUE(_xlfn._xlws.FILTER(입출고대장!$I:$I, (입출고대장!$D:$D=B266)*(입출고대장!$E:$E=C266)*(입출고대장!$F:$F=D266)*(입출고대장!$I:$I&lt;&gt;""), ""))))</f>
        <v/>
      </c>
    </row>
    <row r="267" spans="1:9" ht="17.25" x14ac:dyDescent="0.3">
      <c r="A267" s="20" t="str">
        <v>프랑스</v>
      </c>
      <c r="B267" s="21" t="str">
        <v>바슐레 모노 퓔리니 몽라셰 레 폴라티에르</v>
      </c>
      <c r="C267" s="21">
        <v>2020</v>
      </c>
      <c r="D267" s="21" t="str">
        <v>중앙랙</v>
      </c>
      <c r="E267" s="22">
        <v>1</v>
      </c>
      <c r="F267" s="22">
        <v>0</v>
      </c>
      <c r="G267" s="22">
        <v>1</v>
      </c>
      <c r="H267" s="21" t="str">
        <v>정상</v>
      </c>
      <c r="I267" s="23" t="str" cm="1">
        <f t="array" ref="I267">IF(B267="", "", _xlfn.TEXTJOIN(", ", TRUE, _xlfn.UNIQUE(_xlfn._xlws.FILTER(입출고대장!$I:$I, (입출고대장!$D:$D=B267)*(입출고대장!$E:$E=C267)*(입출고대장!$F:$F=D267)*(입출고대장!$I:$I&lt;&gt;""), ""))))</f>
        <v/>
      </c>
    </row>
    <row r="268" spans="1:9" ht="17.25" x14ac:dyDescent="0.3">
      <c r="A268" s="20" t="str">
        <v>프랑스</v>
      </c>
      <c r="B268" s="21" t="str">
        <v>볼랭저 B16</v>
      </c>
      <c r="C268" s="21">
        <v>2016</v>
      </c>
      <c r="D268" s="21" t="str">
        <v>중앙랙</v>
      </c>
      <c r="E268" s="22">
        <v>1</v>
      </c>
      <c r="F268" s="22">
        <v>0</v>
      </c>
      <c r="G268" s="22">
        <v>1</v>
      </c>
      <c r="H268" s="21" t="str">
        <v>정상</v>
      </c>
      <c r="I268" s="23" t="str" cm="1">
        <f t="array" ref="I268">IF(B268="", "", _xlfn.TEXTJOIN(", ", TRUE, _xlfn.UNIQUE(_xlfn._xlws.FILTER(입출고대장!$I:$I, (입출고대장!$D:$D=B268)*(입출고대장!$E:$E=C268)*(입출고대장!$F:$F=D268)*(입출고대장!$I:$I&lt;&gt;""), ""))))</f>
        <v/>
      </c>
    </row>
    <row r="269" spans="1:9" ht="17.25" x14ac:dyDescent="0.3">
      <c r="A269" s="20" t="str">
        <v>프랑스</v>
      </c>
      <c r="B269" s="21" t="str">
        <v>상볼 뮈지니 1등급 '레 사름'</v>
      </c>
      <c r="C269" s="21">
        <v>2021</v>
      </c>
      <c r="D269" s="21" t="str">
        <v>중앙랙</v>
      </c>
      <c r="E269" s="22">
        <v>1</v>
      </c>
      <c r="F269" s="22">
        <v>0</v>
      </c>
      <c r="G269" s="22">
        <v>1</v>
      </c>
      <c r="H269" s="21" t="str">
        <v>정상</v>
      </c>
      <c r="I269" s="23" t="str" cm="1">
        <f t="array" ref="I269">IF(B269="", "", _xlfn.TEXTJOIN(", ", TRUE, _xlfn.UNIQUE(_xlfn._xlws.FILTER(입출고대장!$I:$I, (입출고대장!$D:$D=B269)*(입출고대장!$E:$E=C269)*(입출고대장!$F:$F=D269)*(입출고대장!$I:$I&lt;&gt;""), ""))))</f>
        <v/>
      </c>
    </row>
    <row r="270" spans="1:9" ht="17.25" x14ac:dyDescent="0.3">
      <c r="A270" s="20" t="str">
        <v>프랑스</v>
      </c>
      <c r="B270" s="21" t="str">
        <v>샤또 린치 바쥐</v>
      </c>
      <c r="C270" s="21">
        <v>2005</v>
      </c>
      <c r="D270" s="21" t="str">
        <v>중앙랙</v>
      </c>
      <c r="E270" s="22">
        <v>1</v>
      </c>
      <c r="F270" s="22">
        <v>0</v>
      </c>
      <c r="G270" s="22">
        <v>1</v>
      </c>
      <c r="H270" s="21" t="str">
        <v>정상</v>
      </c>
      <c r="I270" s="23" t="str" cm="1">
        <f t="array" ref="I270">IF(B270="", "", _xlfn.TEXTJOIN(", ", TRUE, _xlfn.UNIQUE(_xlfn._xlws.FILTER(입출고대장!$I:$I, (입출고대장!$D:$D=B270)*(입출고대장!$E:$E=C270)*(입출고대장!$F:$F=D270)*(입출고대장!$I:$I&lt;&gt;""), ""))))</f>
        <v/>
      </c>
    </row>
    <row r="271" spans="1:9" ht="17.25" x14ac:dyDescent="0.3">
      <c r="A271" s="20" t="str">
        <v>프랑스</v>
      </c>
      <c r="B271" s="21" t="str">
        <v>샤또 베이슈벨</v>
      </c>
      <c r="C271" s="21">
        <v>1971</v>
      </c>
      <c r="D271" s="21" t="str">
        <v>중앙랙</v>
      </c>
      <c r="E271" s="22">
        <v>1</v>
      </c>
      <c r="F271" s="22">
        <v>0</v>
      </c>
      <c r="G271" s="22">
        <v>1</v>
      </c>
      <c r="H271" s="21" t="str">
        <v>정상</v>
      </c>
      <c r="I271" s="23" t="str" cm="1">
        <f t="array" ref="I271">IF(B271="", "", _xlfn.TEXTJOIN(", ", TRUE, _xlfn.UNIQUE(_xlfn._xlws.FILTER(입출고대장!$I:$I, (입출고대장!$D:$D=B271)*(입출고대장!$E:$E=C271)*(입출고대장!$F:$F=D271)*(입출고대장!$I:$I&lt;&gt;""), ""))))</f>
        <v/>
      </c>
    </row>
    <row r="272" spans="1:9" ht="17.25" x14ac:dyDescent="0.3">
      <c r="A272" s="20" t="str">
        <v>프랑스</v>
      </c>
      <c r="B272" s="21" t="str">
        <v>샤또 팔머</v>
      </c>
      <c r="C272" s="21">
        <v>2007</v>
      </c>
      <c r="D272" s="21" t="str">
        <v>중앙랙</v>
      </c>
      <c r="E272" s="22">
        <v>1</v>
      </c>
      <c r="F272" s="22">
        <v>0</v>
      </c>
      <c r="G272" s="22">
        <v>1</v>
      </c>
      <c r="H272" s="21" t="str">
        <v>정상</v>
      </c>
      <c r="I272" s="23" t="str" cm="1">
        <f t="array" ref="I272">IF(B272="", "", _xlfn.TEXTJOIN(", ", TRUE, _xlfn.UNIQUE(_xlfn._xlws.FILTER(입출고대장!$I:$I, (입출고대장!$D:$D=B272)*(입출고대장!$E:$E=C272)*(입출고대장!$F:$F=D272)*(입출고대장!$I:$I&lt;&gt;""), ""))))</f>
        <v/>
      </c>
    </row>
    <row r="273" spans="1:9" ht="17.25" x14ac:dyDescent="0.3">
      <c r="A273" s="20" t="str">
        <v>프랑스</v>
      </c>
      <c r="B273" s="21" t="str">
        <v>샤토 파프 클레망</v>
      </c>
      <c r="C273" s="21">
        <v>2010</v>
      </c>
      <c r="D273" s="21" t="str">
        <v>중앙랙</v>
      </c>
      <c r="E273" s="22">
        <v>10</v>
      </c>
      <c r="F273" s="22">
        <v>3</v>
      </c>
      <c r="G273" s="22">
        <v>7</v>
      </c>
      <c r="H273" s="21" t="str">
        <v>정상</v>
      </c>
      <c r="I273" s="23" t="str" cm="1">
        <f t="array" ref="I273">IF(B273="", "", _xlfn.TEXTJOIN(", ", TRUE, _xlfn.UNIQUE(_xlfn._xlws.FILTER(입출고대장!$I:$I, (입출고대장!$D:$D=B273)*(입출고대장!$E:$E=C273)*(입출고대장!$F:$F=D273)*(입출고대장!$I:$I&lt;&gt;""), ""))))</f>
        <v/>
      </c>
    </row>
    <row r="274" spans="1:9" ht="17.25" x14ac:dyDescent="0.3">
      <c r="A274" s="20" t="str">
        <v>프랑스</v>
      </c>
      <c r="B274" s="21" t="str">
        <v>아 베르제르,38-40 블랑 드 블랑 그랑 크뤼</v>
      </c>
      <c r="C274" s="21">
        <v>2017</v>
      </c>
      <c r="D274" s="21" t="str">
        <v>중앙랙</v>
      </c>
      <c r="E274" s="22">
        <v>1</v>
      </c>
      <c r="F274" s="22">
        <v>0</v>
      </c>
      <c r="G274" s="22">
        <v>1</v>
      </c>
      <c r="H274" s="21" t="str">
        <v>정상</v>
      </c>
      <c r="I274" s="23" t="str" cm="1">
        <f t="array" ref="I274">IF(B274="", "", _xlfn.TEXTJOIN(", ", TRUE, _xlfn.UNIQUE(_xlfn._xlws.FILTER(입출고대장!$I:$I, (입출고대장!$D:$D=B274)*(입출고대장!$E:$E=C274)*(입출고대장!$F:$F=D274)*(입출고대장!$I:$I&lt;&gt;""), ""))))</f>
        <v/>
      </c>
    </row>
    <row r="275" spans="1:9" ht="17.25" x14ac:dyDescent="0.3">
      <c r="A275" s="20" t="str">
        <v>프랑스</v>
      </c>
      <c r="B275" s="21" t="str">
        <v>쟝 마크 브와이요 풀리니 몽라세 프리미에 크뤼 삼 카네</v>
      </c>
      <c r="C275" s="21">
        <v>2022</v>
      </c>
      <c r="D275" s="21" t="str">
        <v>중앙랙</v>
      </c>
      <c r="E275" s="22">
        <v>1</v>
      </c>
      <c r="F275" s="22">
        <v>0</v>
      </c>
      <c r="G275" s="22">
        <v>1</v>
      </c>
      <c r="H275" s="21" t="str">
        <v>정상</v>
      </c>
      <c r="I275" s="23" t="str" cm="1">
        <f t="array" ref="I275">IF(B275="", "", _xlfn.TEXTJOIN(", ", TRUE, _xlfn.UNIQUE(_xlfn._xlws.FILTER(입출고대장!$I:$I, (입출고대장!$D:$D=B275)*(입출고대장!$E:$E=C275)*(입출고대장!$F:$F=D275)*(입출고대장!$I:$I&lt;&gt;""), ""))))</f>
        <v/>
      </c>
    </row>
    <row r="276" spans="1:9" ht="17.25" x14ac:dyDescent="0.3">
      <c r="A276" s="20" t="str">
        <v>프랑스</v>
      </c>
      <c r="B276" s="21" t="str">
        <v>조셉 페블레, 샹볼 뮈지니</v>
      </c>
      <c r="C276" s="21">
        <v>2022</v>
      </c>
      <c r="D276" s="21" t="str">
        <v>중앙랙</v>
      </c>
      <c r="E276" s="22">
        <v>1</v>
      </c>
      <c r="F276" s="22">
        <v>0</v>
      </c>
      <c r="G276" s="22">
        <v>1</v>
      </c>
      <c r="H276" s="21" t="str">
        <v>정상</v>
      </c>
      <c r="I276" s="23" t="str" cm="1">
        <f t="array" ref="I276">IF(B276="", "", _xlfn.TEXTJOIN(", ", TRUE, _xlfn.UNIQUE(_xlfn._xlws.FILTER(입출고대장!$I:$I, (입출고대장!$D:$D=B276)*(입출고대장!$E:$E=C276)*(입출고대장!$F:$F=D276)*(입출고대장!$I:$I&lt;&gt;""), ""))))</f>
        <v/>
      </c>
    </row>
    <row r="277" spans="1:9" ht="17.25" x14ac:dyDescent="0.3">
      <c r="A277" s="20" t="str">
        <v>프랑스</v>
      </c>
      <c r="B277" s="21" t="str">
        <v>크리스탈 브뤼트</v>
      </c>
      <c r="C277" s="21">
        <v>2002</v>
      </c>
      <c r="D277" s="21" t="str">
        <v>중앙랙</v>
      </c>
      <c r="E277" s="22">
        <v>1</v>
      </c>
      <c r="F277" s="22">
        <v>0</v>
      </c>
      <c r="G277" s="22">
        <v>1</v>
      </c>
      <c r="H277" s="21" t="str">
        <v>정상</v>
      </c>
      <c r="I277" s="23" t="str" cm="1">
        <f t="array" ref="I277">IF(B277="", "", _xlfn.TEXTJOIN(", ", TRUE, _xlfn.UNIQUE(_xlfn._xlws.FILTER(입출고대장!$I:$I, (입출고대장!$D:$D=B277)*(입출고대장!$E:$E=C277)*(입출고대장!$F:$F=D277)*(입출고대장!$I:$I&lt;&gt;""), ""))))</f>
        <v/>
      </c>
    </row>
    <row r="278" spans="1:9" ht="17.25" x14ac:dyDescent="0.3">
      <c r="A278" s="20" t="str">
        <v>이탈리아</v>
      </c>
      <c r="B278" s="21" t="str">
        <v>사시까이아</v>
      </c>
      <c r="C278" s="21">
        <v>2022</v>
      </c>
      <c r="D278" s="21" t="str">
        <v>중앙랙(1번줄)</v>
      </c>
      <c r="E278" s="22">
        <v>1</v>
      </c>
      <c r="F278" s="22">
        <v>0</v>
      </c>
      <c r="G278" s="22">
        <v>1</v>
      </c>
      <c r="H278" s="21" t="str">
        <v>정상</v>
      </c>
      <c r="I278" s="23" t="str" cm="1">
        <f t="array" ref="I278">IF(B278="", "", _xlfn.TEXTJOIN(", ", TRUE, _xlfn.UNIQUE(_xlfn._xlws.FILTER(입출고대장!$I:$I, (입출고대장!$D:$D=B278)*(입출고대장!$E:$E=C278)*(입출고대장!$F:$F=D278)*(입출고대장!$I:$I&lt;&gt;""), ""))))</f>
        <v/>
      </c>
    </row>
    <row r="279" spans="1:9" ht="17.25" x14ac:dyDescent="0.3">
      <c r="A279" s="20" t="str">
        <v>프랑스</v>
      </c>
      <c r="B279" s="21" t="str">
        <v>돔페리뇽 1500ml</v>
      </c>
      <c r="C279" s="21">
        <v>2003</v>
      </c>
      <c r="D279" s="21" t="str">
        <v>중앙랙(1번줄)</v>
      </c>
      <c r="E279" s="22">
        <v>1</v>
      </c>
      <c r="F279" s="22">
        <v>0</v>
      </c>
      <c r="G279" s="22">
        <v>1</v>
      </c>
      <c r="H279" s="21" t="str">
        <v>정상</v>
      </c>
      <c r="I279" s="23" t="str" cm="1">
        <f t="array" ref="I279">IF(B279="", "", _xlfn.TEXTJOIN(", ", TRUE, _xlfn.UNIQUE(_xlfn._xlws.FILTER(입출고대장!$I:$I, (입출고대장!$D:$D=B279)*(입출고대장!$E:$E=C279)*(입출고대장!$F:$F=D279)*(입출고대장!$I:$I&lt;&gt;""), ""))))</f>
        <v>매그넘</v>
      </c>
    </row>
    <row r="280" spans="1:9" ht="17.25" x14ac:dyDescent="0.3">
      <c r="A280" s="20" t="str">
        <v>프랑스</v>
      </c>
      <c r="B280" s="21" t="str">
        <v>돔페리뇽 1500ml</v>
      </c>
      <c r="C280" s="21">
        <v>2004</v>
      </c>
      <c r="D280" s="21" t="str">
        <v>중앙랙(1번줄)</v>
      </c>
      <c r="E280" s="22">
        <v>3</v>
      </c>
      <c r="F280" s="22">
        <v>0</v>
      </c>
      <c r="G280" s="22">
        <v>3</v>
      </c>
      <c r="H280" s="21" t="str">
        <v>정상</v>
      </c>
      <c r="I280" s="23" t="str" cm="1">
        <f t="array" ref="I280">IF(B280="", "", _xlfn.TEXTJOIN(", ", TRUE, _xlfn.UNIQUE(_xlfn._xlws.FILTER(입출고대장!$I:$I, (입출고대장!$D:$D=B280)*(입출고대장!$E:$E=C280)*(입출고대장!$F:$F=D280)*(입출고대장!$I:$I&lt;&gt;""), ""))))</f>
        <v>매그넘</v>
      </c>
    </row>
    <row r="281" spans="1:9" ht="17.25" x14ac:dyDescent="0.3">
      <c r="A281" s="20" t="str">
        <v>프랑스</v>
      </c>
      <c r="B281" s="21" t="str">
        <v>돔페리뇽 750ml</v>
      </c>
      <c r="C281" s="21">
        <v>2000</v>
      </c>
      <c r="D281" s="21" t="str">
        <v>중앙랙(1번줄)</v>
      </c>
      <c r="E281" s="22">
        <v>2</v>
      </c>
      <c r="F281" s="22">
        <v>0</v>
      </c>
      <c r="G281" s="22">
        <v>2</v>
      </c>
      <c r="H281" s="21" t="str">
        <v>정상</v>
      </c>
      <c r="I281" s="23" t="str" cm="1">
        <f t="array" ref="I281">IF(B281="", "", _xlfn.TEXTJOIN(", ", TRUE, _xlfn.UNIQUE(_xlfn._xlws.FILTER(입출고대장!$I:$I, (입출고대장!$D:$D=B281)*(입출고대장!$E:$E=C281)*(입출고대장!$F:$F=D281)*(입출고대장!$I:$I&lt;&gt;""), ""))))</f>
        <v>샴페인</v>
      </c>
    </row>
    <row r="282" spans="1:9" ht="17.25" x14ac:dyDescent="0.3">
      <c r="A282" s="20" t="str">
        <v>프랑스</v>
      </c>
      <c r="B282" s="21" t="str">
        <v>돔페리뇽 750ml</v>
      </c>
      <c r="C282" s="21">
        <v>2002</v>
      </c>
      <c r="D282" s="21" t="str">
        <v>중앙랙(1번줄)</v>
      </c>
      <c r="E282" s="22">
        <v>3</v>
      </c>
      <c r="F282" s="22">
        <v>0</v>
      </c>
      <c r="G282" s="22">
        <v>3</v>
      </c>
      <c r="H282" s="21" t="str">
        <v>정상</v>
      </c>
      <c r="I282" s="23" t="str" cm="1">
        <f t="array" ref="I282">IF(B282="", "", _xlfn.TEXTJOIN(", ", TRUE, _xlfn.UNIQUE(_xlfn._xlws.FILTER(입출고대장!$I:$I, (입출고대장!$D:$D=B282)*(입출고대장!$E:$E=C282)*(입출고대장!$F:$F=D282)*(입출고대장!$I:$I&lt;&gt;""), ""))))</f>
        <v>샴페인</v>
      </c>
    </row>
    <row r="283" spans="1:9" ht="17.25" x14ac:dyDescent="0.3">
      <c r="A283" s="20" t="str">
        <v>프랑스</v>
      </c>
      <c r="B283" s="21" t="str">
        <v>루이자도 몽라쉐 그랑크뤼</v>
      </c>
      <c r="C283" s="21">
        <v>2019</v>
      </c>
      <c r="D283" s="21" t="str">
        <v>중앙랙(1번줄)</v>
      </c>
      <c r="E283" s="22">
        <v>1</v>
      </c>
      <c r="F283" s="22">
        <v>0</v>
      </c>
      <c r="G283" s="22">
        <v>1</v>
      </c>
      <c r="H283" s="21" t="str">
        <v>정상</v>
      </c>
      <c r="I283" s="23" t="str" cm="1">
        <f t="array" ref="I283">IF(B283="", "", _xlfn.TEXTJOIN(", ", TRUE, _xlfn.UNIQUE(_xlfn._xlws.FILTER(입출고대장!$I:$I, (입출고대장!$D:$D=B283)*(입출고대장!$E:$E=C283)*(입출고대장!$F:$F=D283)*(입출고대장!$I:$I&lt;&gt;""), ""))))</f>
        <v>Louis Jadot</v>
      </c>
    </row>
    <row r="284" spans="1:9" ht="17.25" x14ac:dyDescent="0.3">
      <c r="A284" s="20" t="str">
        <v>프랑스</v>
      </c>
      <c r="B284" s="21" t="str">
        <v>볼랭저 라그랑아네 750ml</v>
      </c>
      <c r="C284" s="21">
        <v>2000</v>
      </c>
      <c r="D284" s="21" t="str">
        <v>중앙랙(1번줄)</v>
      </c>
      <c r="E284" s="22">
        <v>1</v>
      </c>
      <c r="F284" s="22">
        <v>0</v>
      </c>
      <c r="G284" s="22">
        <v>1</v>
      </c>
      <c r="H284" s="21" t="str">
        <v>정상</v>
      </c>
      <c r="I284" s="23" t="str" cm="1">
        <f t="array" ref="I284">IF(B284="", "", _xlfn.TEXTJOIN(", ", TRUE, _xlfn.UNIQUE(_xlfn._xlws.FILTER(입출고대장!$I:$I, (입출고대장!$D:$D=B284)*(입출고대장!$E:$E=C284)*(입출고대장!$F:$F=D284)*(입출고대장!$I:$I&lt;&gt;""), ""))))</f>
        <v>샴페인</v>
      </c>
    </row>
    <row r="285" spans="1:9" ht="17.25" x14ac:dyDescent="0.3">
      <c r="A285" s="20" t="str">
        <v>프랑스</v>
      </c>
      <c r="B285" s="21" t="str">
        <v>볼랭저 라그랑아네 750ml</v>
      </c>
      <c r="C285" s="21">
        <v>2002</v>
      </c>
      <c r="D285" s="21" t="str">
        <v>중앙랙(1번줄)</v>
      </c>
      <c r="E285" s="22">
        <v>1</v>
      </c>
      <c r="F285" s="22">
        <v>0</v>
      </c>
      <c r="G285" s="22">
        <v>1</v>
      </c>
      <c r="H285" s="21" t="str">
        <v>정상</v>
      </c>
      <c r="I285" s="23" t="str" cm="1">
        <f t="array" ref="I285">IF(B285="", "", _xlfn.TEXTJOIN(", ", TRUE, _xlfn.UNIQUE(_xlfn._xlws.FILTER(입출고대장!$I:$I, (입출고대장!$D:$D=B285)*(입출고대장!$E:$E=C285)*(입출고대장!$F:$F=D285)*(입출고대장!$I:$I&lt;&gt;""), ""))))</f>
        <v>샴페인</v>
      </c>
    </row>
    <row r="286" spans="1:9" ht="17.25" x14ac:dyDescent="0.3">
      <c r="A286" s="20" t="str">
        <v>프랑스</v>
      </c>
      <c r="B286" s="21" t="str">
        <v>볼랭저 제임스 본드 007 750ml</v>
      </c>
      <c r="C286" s="21">
        <v>2002</v>
      </c>
      <c r="D286" s="21" t="str">
        <v>중앙랙(1번줄)</v>
      </c>
      <c r="E286" s="22">
        <v>1</v>
      </c>
      <c r="F286" s="22">
        <v>0</v>
      </c>
      <c r="G286" s="22">
        <v>1</v>
      </c>
      <c r="H286" s="21" t="str">
        <v>정상</v>
      </c>
      <c r="I286" s="23" t="str" cm="1">
        <f t="array" ref="I286">IF(B286="", "", _xlfn.TEXTJOIN(", ", TRUE, _xlfn.UNIQUE(_xlfn._xlws.FILTER(입출고대장!$I:$I, (입출고대장!$D:$D=B286)*(입출고대장!$E:$E=C286)*(입출고대장!$F:$F=D286)*(입출고대장!$I:$I&lt;&gt;""), ""))))</f>
        <v>샴페인</v>
      </c>
    </row>
    <row r="287" spans="1:9" ht="17.25" x14ac:dyDescent="0.3">
      <c r="A287" s="20" t="str">
        <v>미국</v>
      </c>
      <c r="B287" s="21" t="str">
        <v>레비아탄(매그넘)</v>
      </c>
      <c r="C287" s="21">
        <v>2010</v>
      </c>
      <c r="D287" s="21" t="str">
        <v>중앙랙(2번줄)</v>
      </c>
      <c r="E287" s="22">
        <v>4</v>
      </c>
      <c r="F287" s="22">
        <v>0</v>
      </c>
      <c r="G287" s="22">
        <v>4</v>
      </c>
      <c r="H287" s="21" t="str">
        <v>정상</v>
      </c>
      <c r="I287" s="23" t="str" cm="1">
        <f t="array" ref="I287">IF(B287="", "", _xlfn.TEXTJOIN(", ", TRUE, _xlfn.UNIQUE(_xlfn._xlws.FILTER(입출고대장!$I:$I, (입출고대장!$D:$D=B287)*(입출고대장!$E:$E=C287)*(입출고대장!$F:$F=D287)*(입출고대장!$I:$I&lt;&gt;""), ""))))</f>
        <v>매그넘 (Leviathan)</v>
      </c>
    </row>
    <row r="288" spans="1:9" ht="17.25" x14ac:dyDescent="0.3">
      <c r="A288" s="20" t="str">
        <v>미국</v>
      </c>
      <c r="B288" s="21" t="str">
        <v>씨네퀴넌</v>
      </c>
      <c r="C288" s="21" t="str">
        <v>NV</v>
      </c>
      <c r="D288" s="21" t="str">
        <v>중앙랙(2번줄)</v>
      </c>
      <c r="E288" s="22">
        <v>2</v>
      </c>
      <c r="F288" s="22">
        <v>0</v>
      </c>
      <c r="G288" s="22">
        <v>2</v>
      </c>
      <c r="H288" s="21" t="str">
        <v>정상</v>
      </c>
      <c r="I288" s="23" t="str" cm="1">
        <f t="array" ref="I288">IF(B288="", "", _xlfn.TEXTJOIN(", ", TRUE, _xlfn.UNIQUE(_xlfn._xlws.FILTER(입출고대장!$I:$I, (입출고대장!$D:$D=B288)*(입출고대장!$E:$E=C288)*(입출고대장!$F:$F=D288)*(입출고대장!$I:$I&lt;&gt;""), ""))))</f>
        <v/>
      </c>
    </row>
    <row r="289" spans="1:9" ht="17.25" x14ac:dyDescent="0.3">
      <c r="A289" s="20" t="str">
        <v>이탈리아</v>
      </c>
      <c r="B289" s="21" t="str">
        <v>Brunello Di Montalcino (매그넘)</v>
      </c>
      <c r="C289" s="21">
        <v>2005</v>
      </c>
      <c r="D289" s="21" t="str">
        <v>중앙랙(2번줄)</v>
      </c>
      <c r="E289" s="22">
        <v>1</v>
      </c>
      <c r="F289" s="22">
        <v>0</v>
      </c>
      <c r="G289" s="22">
        <v>1</v>
      </c>
      <c r="H289" s="21" t="str">
        <v>정상</v>
      </c>
      <c r="I289" s="23" t="str" cm="1">
        <f t="array" ref="I289">IF(B289="", "", _xlfn.TEXTJOIN(", ", TRUE, _xlfn.UNIQUE(_xlfn._xlws.FILTER(입출고대장!$I:$I, (입출고대장!$D:$D=B289)*(입출고대장!$E:$E=C289)*(입출고대장!$F:$F=D289)*(입출고대장!$I:$I&lt;&gt;""), ""))))</f>
        <v>매그넘</v>
      </c>
    </row>
    <row r="290" spans="1:9" ht="17.25" x14ac:dyDescent="0.3">
      <c r="A290" s="20" t="str">
        <v>이탈리아</v>
      </c>
      <c r="B290" s="21" t="str">
        <v>가이아 앤 레이 750ml</v>
      </c>
      <c r="C290" s="21">
        <v>2014</v>
      </c>
      <c r="D290" s="21" t="str">
        <v>중앙랙(2번줄)</v>
      </c>
      <c r="E290" s="22">
        <v>3</v>
      </c>
      <c r="F290" s="22">
        <v>0</v>
      </c>
      <c r="G290" s="22">
        <v>3</v>
      </c>
      <c r="H290" s="21" t="str">
        <v>정상</v>
      </c>
      <c r="I290" s="23" t="str" cm="1">
        <f t="array" ref="I290">IF(B290="", "", _xlfn.TEXTJOIN(", ", TRUE, _xlfn.UNIQUE(_xlfn._xlws.FILTER(입출고대장!$I:$I, (입출고대장!$D:$D=B290)*(입출고대장!$E:$E=C290)*(입출고대장!$F:$F=D290)*(입출고대장!$I:$I&lt;&gt;""), ""))))</f>
        <v>가야 가이아&amp;레이</v>
      </c>
    </row>
    <row r="291" spans="1:9" ht="17.25" x14ac:dyDescent="0.3">
      <c r="A291" s="20" t="str">
        <v>프랑스</v>
      </c>
      <c r="B291" s="21" t="str">
        <v>바따르 몽라쉐 750ml</v>
      </c>
      <c r="C291" s="21">
        <v>2019</v>
      </c>
      <c r="D291" s="21" t="str">
        <v>중앙랙(2번줄)</v>
      </c>
      <c r="E291" s="22">
        <v>2</v>
      </c>
      <c r="F291" s="22">
        <v>0</v>
      </c>
      <c r="G291" s="22">
        <v>2</v>
      </c>
      <c r="H291" s="21" t="str">
        <v>정상</v>
      </c>
      <c r="I291" s="23" t="str" cm="1">
        <f t="array" ref="I291">IF(B291="", "", _xlfn.TEXTJOIN(", ", TRUE, _xlfn.UNIQUE(_xlfn._xlws.FILTER(입출고대장!$I:$I, (입출고대장!$D:$D=B291)*(입출고대장!$E:$E=C291)*(입출고대장!$F:$F=D291)*(입출고대장!$I:$I&lt;&gt;""), ""))))</f>
        <v/>
      </c>
    </row>
    <row r="292" spans="1:9" ht="17.25" x14ac:dyDescent="0.3">
      <c r="A292" s="20" t="str">
        <v>프랑스</v>
      </c>
      <c r="B292" s="21" t="str">
        <v>샤싼느 몽라쉐 레 마쥐르 750ml</v>
      </c>
      <c r="C292" s="21">
        <v>2018</v>
      </c>
      <c r="D292" s="21" t="str">
        <v>중앙랙(2번줄)</v>
      </c>
      <c r="E292" s="22">
        <v>4</v>
      </c>
      <c r="F292" s="22">
        <v>0</v>
      </c>
      <c r="G292" s="22">
        <v>4</v>
      </c>
      <c r="H292" s="21" t="str">
        <v>정상</v>
      </c>
      <c r="I292" s="23" t="str" cm="1">
        <f t="array" ref="I292">IF(B292="", "", _xlfn.TEXTJOIN(", ", TRUE, _xlfn.UNIQUE(_xlfn._xlws.FILTER(입출고대장!$I:$I, (입출고대장!$D:$D=B292)*(입출고대장!$E:$E=C292)*(입출고대장!$F:$F=D292)*(입출고대장!$I:$I&lt;&gt;""), ""))))</f>
        <v>샤샤뉴 몽라셰</v>
      </c>
    </row>
    <row r="293" spans="1:9" ht="17.25" x14ac:dyDescent="0.3">
      <c r="A293" s="20" t="str">
        <v>프랑스</v>
      </c>
      <c r="B293" s="21" t="str">
        <v>크로스 데라 트루피에르 푸리그니 몬트라체 1크루 750ml</v>
      </c>
      <c r="C293" s="21">
        <v>2021</v>
      </c>
      <c r="D293" s="21" t="str">
        <v>중앙랙(2번줄)</v>
      </c>
      <c r="E293" s="22">
        <v>1</v>
      </c>
      <c r="F293" s="22">
        <v>0</v>
      </c>
      <c r="G293" s="22">
        <v>1</v>
      </c>
      <c r="H293" s="21" t="str">
        <v>정상</v>
      </c>
      <c r="I293" s="23" t="str" cm="1">
        <f t="array" ref="I293">IF(B293="", "", _xlfn.TEXTJOIN(", ", TRUE, _xlfn.UNIQUE(_xlfn._xlws.FILTER(입출고대장!$I:$I, (입출고대장!$D:$D=B293)*(입출고대장!$E:$E=C293)*(입출고대장!$F:$F=D293)*(입출고대장!$I:$I&lt;&gt;""), ""))))</f>
        <v>클로 드 라 트뤼피에르 1er</v>
      </c>
    </row>
    <row r="294" spans="1:9" ht="17.25" x14ac:dyDescent="0.3">
      <c r="A294" s="20" t="str">
        <v>프랑스</v>
      </c>
      <c r="B294" s="21" t="str">
        <v>푸리그니 몬트라체 750ml</v>
      </c>
      <c r="C294" s="21">
        <v>2021</v>
      </c>
      <c r="D294" s="21" t="str">
        <v>중앙랙(2번줄)</v>
      </c>
      <c r="E294" s="22">
        <v>1</v>
      </c>
      <c r="F294" s="22">
        <v>0</v>
      </c>
      <c r="G294" s="22">
        <v>1</v>
      </c>
      <c r="H294" s="21" t="str">
        <v>정상</v>
      </c>
      <c r="I294" s="23" t="str" cm="1">
        <f t="array" ref="I294">IF(B294="", "", _xlfn.TEXTJOIN(", ", TRUE, _xlfn.UNIQUE(_xlfn._xlws.FILTER(입출고대장!$I:$I, (입출고대장!$D:$D=B294)*(입출고대장!$E:$E=C294)*(입출고대장!$F:$F=D294)*(입출고대장!$I:$I&lt;&gt;""), ""))))</f>
        <v>퓔리니 몽라셰</v>
      </c>
    </row>
    <row r="295" spans="1:9" ht="17.25" x14ac:dyDescent="0.3">
      <c r="A295" s="20" t="str">
        <v>프랑스</v>
      </c>
      <c r="B295" s="21" t="str">
        <v>퓔리니 몽라쉐 라 르블랑스 750ml</v>
      </c>
      <c r="C295" s="21">
        <v>2019</v>
      </c>
      <c r="D295" s="21" t="str">
        <v>중앙랙(2번줄)</v>
      </c>
      <c r="E295" s="22">
        <v>3</v>
      </c>
      <c r="F295" s="22">
        <v>0</v>
      </c>
      <c r="G295" s="22">
        <v>3</v>
      </c>
      <c r="H295" s="21" t="str">
        <v>정상</v>
      </c>
      <c r="I295" s="23" t="str" cm="1">
        <f t="array" ref="I295">IF(B295="", "", _xlfn.TEXTJOIN(", ", TRUE, _xlfn.UNIQUE(_xlfn._xlws.FILTER(입출고대장!$I:$I, (입출고대장!$D:$D=B295)*(입출고대장!$E:$E=C295)*(입출고대장!$F:$F=D295)*(입출고대장!$I:$I&lt;&gt;""), ""))))</f>
        <v/>
      </c>
    </row>
    <row r="296" spans="1:9" ht="17.25" x14ac:dyDescent="0.3">
      <c r="A296" s="20" t="str">
        <v>미국</v>
      </c>
      <c r="B296" s="21" t="str">
        <v>스크리밍 이글 소비뇽 블랑</v>
      </c>
      <c r="C296" s="21">
        <v>2022</v>
      </c>
      <c r="D296" s="21" t="str">
        <v>중앙랙(3번줄)</v>
      </c>
      <c r="E296" s="22">
        <v>2</v>
      </c>
      <c r="F296" s="22">
        <v>0</v>
      </c>
      <c r="G296" s="22">
        <v>2</v>
      </c>
      <c r="H296" s="21" t="str">
        <v>정상</v>
      </c>
      <c r="I296" s="23" t="str" cm="1">
        <f t="array" ref="I296">IF(B296="", "", _xlfn.TEXTJOIN(", ", TRUE, _xlfn.UNIQUE(_xlfn._xlws.FILTER(입출고대장!$I:$I, (입출고대장!$D:$D=B296)*(입출고대장!$E:$E=C296)*(입출고대장!$F:$F=D296)*(입출고대장!$I:$I&lt;&gt;""), ""))))</f>
        <v>Screaming Eagle</v>
      </c>
    </row>
    <row r="297" spans="1:9" ht="17.25" x14ac:dyDescent="0.3">
      <c r="A297" s="20" t="str">
        <v>미국</v>
      </c>
      <c r="B297" s="21" t="str">
        <v>씨네퀴넌</v>
      </c>
      <c r="C297" s="21">
        <v>2009</v>
      </c>
      <c r="D297" s="21" t="str">
        <v>중앙랙(3번줄)</v>
      </c>
      <c r="E297" s="22">
        <v>6</v>
      </c>
      <c r="F297" s="22">
        <v>0</v>
      </c>
      <c r="G297" s="22">
        <v>6</v>
      </c>
      <c r="H297" s="21" t="str">
        <v>정상</v>
      </c>
      <c r="I297" s="23" t="str" cm="1">
        <f t="array" ref="I297">IF(B297="", "", _xlfn.TEXTJOIN(", ", TRUE, _xlfn.UNIQUE(_xlfn._xlws.FILTER(입출고대장!$I:$I, (입출고대장!$D:$D=B297)*(입출고대장!$E:$E=C297)*(입출고대장!$F:$F=D297)*(입출고대장!$I:$I&lt;&gt;""), ""))))</f>
        <v/>
      </c>
    </row>
    <row r="298" spans="1:9" ht="17.25" x14ac:dyDescent="0.3">
      <c r="A298" s="20" t="str">
        <v>미국</v>
      </c>
      <c r="B298" s="21" t="str">
        <v>씨네퀴넌</v>
      </c>
      <c r="C298" s="21">
        <v>2012</v>
      </c>
      <c r="D298" s="21" t="str">
        <v>중앙랙(3번줄)</v>
      </c>
      <c r="E298" s="22">
        <v>10</v>
      </c>
      <c r="F298" s="22">
        <v>0</v>
      </c>
      <c r="G298" s="22">
        <v>10</v>
      </c>
      <c r="H298" s="21" t="str">
        <v>정상</v>
      </c>
      <c r="I298" s="23" t="str" cm="1">
        <f t="array" ref="I298">IF(B298="", "", _xlfn.TEXTJOIN(", ", TRUE, _xlfn.UNIQUE(_xlfn._xlws.FILTER(입출고대장!$I:$I, (입출고대장!$D:$D=B298)*(입출고대장!$E:$E=C298)*(입출고대장!$F:$F=D298)*(입출고대장!$I:$I&lt;&gt;""), ""))))</f>
        <v/>
      </c>
    </row>
    <row r="299" spans="1:9" ht="17.25" x14ac:dyDescent="0.3">
      <c r="A299" s="20" t="str">
        <v>미국</v>
      </c>
      <c r="B299" s="21" t="str">
        <v>오퍼스원</v>
      </c>
      <c r="C299" s="21">
        <v>2010</v>
      </c>
      <c r="D299" s="21" t="str">
        <v>중앙랙(3번줄)</v>
      </c>
      <c r="E299" s="22">
        <v>1</v>
      </c>
      <c r="F299" s="22">
        <v>1</v>
      </c>
      <c r="G299" s="22">
        <v>0</v>
      </c>
      <c r="H299" s="21" t="str">
        <v>재고없음</v>
      </c>
      <c r="I299" s="23" t="str" cm="1">
        <f t="array" ref="I299">IF(B299="", "", _xlfn.TEXTJOIN(", ", TRUE, _xlfn.UNIQUE(_xlfn._xlws.FILTER(입출고대장!$I:$I, (입출고대장!$D:$D=B299)*(입출고대장!$E:$E=C299)*(입출고대장!$F:$F=D299)*(입출고대장!$I:$I&lt;&gt;""), ""))))</f>
        <v>Opus One</v>
      </c>
    </row>
    <row r="300" spans="1:9" ht="17.25" x14ac:dyDescent="0.3">
      <c r="A300" s="20" t="str">
        <v>이탈리아</v>
      </c>
      <c r="B300" s="21" t="str">
        <v>마세토 21</v>
      </c>
      <c r="C300" s="21">
        <v>2021</v>
      </c>
      <c r="D300" s="21" t="str">
        <v>중앙랙(3번줄)</v>
      </c>
      <c r="E300" s="22">
        <v>1</v>
      </c>
      <c r="F300" s="22">
        <v>0</v>
      </c>
      <c r="G300" s="22">
        <v>1</v>
      </c>
      <c r="H300" s="21" t="str">
        <v>정상</v>
      </c>
      <c r="I300" s="23" t="str" cm="1">
        <f t="array" ref="I300">IF(B300="", "", _xlfn.TEXTJOIN(", ", TRUE, _xlfn.UNIQUE(_xlfn._xlws.FILTER(입출고대장!$I:$I, (입출고대장!$D:$D=B300)*(입출고대장!$E:$E=C300)*(입출고대장!$F:$F=D300)*(입출고대장!$I:$I&lt;&gt;""), ""))))</f>
        <v>Masseto</v>
      </c>
    </row>
    <row r="301" spans="1:9" ht="17.25" x14ac:dyDescent="0.3">
      <c r="A301" s="20" t="str">
        <v>이탈리아</v>
      </c>
      <c r="B301" s="21" t="str">
        <v>지아코모 콘테르노 몬포르티노 14 1500ml</v>
      </c>
      <c r="C301" s="21">
        <v>2013</v>
      </c>
      <c r="D301" s="21" t="str">
        <v>중앙랙(3번줄)</v>
      </c>
      <c r="E301" s="22">
        <v>1</v>
      </c>
      <c r="F301" s="22">
        <v>0</v>
      </c>
      <c r="G301" s="22">
        <v>1</v>
      </c>
      <c r="H301" s="21" t="str">
        <v>정상</v>
      </c>
      <c r="I301" s="23" t="str" cm="1">
        <f t="array" ref="I301">IF(B301="", "", _xlfn.TEXTJOIN(", ", TRUE, _xlfn.UNIQUE(_xlfn._xlws.FILTER(입출고대장!$I:$I, (입출고대장!$D:$D=B301)*(입출고대장!$E:$E=C301)*(입출고대장!$F:$F=D301)*(입출고대장!$I:$I&lt;&gt;""), ""))))</f>
        <v>매그넘</v>
      </c>
    </row>
    <row r="302" spans="1:9" ht="17.25" x14ac:dyDescent="0.3">
      <c r="A302" s="20" t="str">
        <v>이탈리아</v>
      </c>
      <c r="B302" s="21" t="str">
        <v>지아코모 콘테르노 몬포르티노 14 1500ml</v>
      </c>
      <c r="C302" s="21">
        <v>2014</v>
      </c>
      <c r="D302" s="21" t="str">
        <v>중앙랙(3번줄)</v>
      </c>
      <c r="E302" s="22">
        <v>1</v>
      </c>
      <c r="F302" s="22">
        <v>0</v>
      </c>
      <c r="G302" s="22">
        <v>1</v>
      </c>
      <c r="H302" s="21" t="str">
        <v>정상</v>
      </c>
      <c r="I302" s="23" t="str" cm="1">
        <f t="array" ref="I302">IF(B302="", "", _xlfn.TEXTJOIN(", ", TRUE, _xlfn.UNIQUE(_xlfn._xlws.FILTER(입출고대장!$I:$I, (입출고대장!$D:$D=B302)*(입출고대장!$E:$E=C302)*(입출고대장!$F:$F=D302)*(입출고대장!$I:$I&lt;&gt;""), ""))))</f>
        <v>매그넘</v>
      </c>
    </row>
    <row r="303" spans="1:9" ht="17.25" x14ac:dyDescent="0.3">
      <c r="A303" s="20" t="str">
        <v>프랑스</v>
      </c>
      <c r="B303" s="21" t="str">
        <v>샤또 페트뤼스</v>
      </c>
      <c r="C303" s="21">
        <v>2004</v>
      </c>
      <c r="D303" s="21" t="str">
        <v>중앙랙(3번줄)</v>
      </c>
      <c r="E303" s="22">
        <v>1</v>
      </c>
      <c r="F303" s="22">
        <v>0</v>
      </c>
      <c r="G303" s="22">
        <v>1</v>
      </c>
      <c r="H303" s="21" t="str">
        <v>정상</v>
      </c>
      <c r="I303" s="23" t="str" cm="1">
        <f t="array" ref="I303">IF(B303="", "", _xlfn.TEXTJOIN(", ", TRUE, _xlfn.UNIQUE(_xlfn._xlws.FILTER(입출고대장!$I:$I, (입출고대장!$D:$D=B303)*(입출고대장!$E:$E=C303)*(입출고대장!$F:$F=D303)*(입출고대장!$I:$I&lt;&gt;""), ""))))</f>
        <v>Ch.Petrus</v>
      </c>
    </row>
    <row r="304" spans="1:9" ht="17.25" x14ac:dyDescent="0.3">
      <c r="A304" s="20" t="str">
        <v>프랑스</v>
      </c>
      <c r="B304" s="21" t="str">
        <v>크리스탈 브뤼트</v>
      </c>
      <c r="C304" s="21">
        <v>1999</v>
      </c>
      <c r="D304" s="21" t="str">
        <v>중앙랙(3번줄)</v>
      </c>
      <c r="E304" s="22">
        <v>2</v>
      </c>
      <c r="F304" s="22">
        <v>0</v>
      </c>
      <c r="G304" s="22">
        <v>2</v>
      </c>
      <c r="H304" s="21" t="str">
        <v>정상</v>
      </c>
      <c r="I304" s="23" t="str" cm="1">
        <f t="array" ref="I304">IF(B304="", "", _xlfn.TEXTJOIN(", ", TRUE, _xlfn.UNIQUE(_xlfn._xlws.FILTER(입출고대장!$I:$I, (입출고대장!$D:$D=B304)*(입출고대장!$E:$E=C304)*(입출고대장!$F:$F=D304)*(입출고대장!$I:$I&lt;&gt;""), ""))))</f>
        <v>샴페인</v>
      </c>
    </row>
    <row r="305" spans="1:9" ht="17.25" x14ac:dyDescent="0.3">
      <c r="A305" s="20" t="str">
        <v>프랑스</v>
      </c>
      <c r="B305" s="21" t="str">
        <v>크리스탈 브뤼트</v>
      </c>
      <c r="C305" s="21">
        <v>2002</v>
      </c>
      <c r="D305" s="21" t="str">
        <v>중앙랙(3번줄)</v>
      </c>
      <c r="E305" s="22">
        <v>4</v>
      </c>
      <c r="F305" s="22">
        <v>0</v>
      </c>
      <c r="G305" s="22">
        <v>4</v>
      </c>
      <c r="H305" s="21" t="str">
        <v>정상</v>
      </c>
      <c r="I305" s="23" t="str" cm="1">
        <f t="array" ref="I305">IF(B305="", "", _xlfn.TEXTJOIN(", ", TRUE, _xlfn.UNIQUE(_xlfn._xlws.FILTER(입출고대장!$I:$I, (입출고대장!$D:$D=B305)*(입출고대장!$E:$E=C305)*(입출고대장!$F:$F=D305)*(입출고대장!$I:$I&lt;&gt;""), ""))))</f>
        <v>샴페인</v>
      </c>
    </row>
    <row r="306" spans="1:9" ht="17.25" x14ac:dyDescent="0.3">
      <c r="A306" s="20" t="str">
        <v>미국</v>
      </c>
      <c r="B306" s="21" t="str">
        <v>씨네퀴넌 750ml</v>
      </c>
      <c r="C306" s="21">
        <v>2006</v>
      </c>
      <c r="D306" s="21" t="str">
        <v>중앙랙(4번줄)</v>
      </c>
      <c r="E306" s="22">
        <v>2</v>
      </c>
      <c r="F306" s="22">
        <v>0</v>
      </c>
      <c r="G306" s="22">
        <v>2</v>
      </c>
      <c r="H306" s="21" t="str">
        <v>정상</v>
      </c>
      <c r="I306" s="23" t="str" cm="1">
        <f t="array" ref="I306">IF(B306="", "", _xlfn.TEXTJOIN(", ", TRUE, _xlfn.UNIQUE(_xlfn._xlws.FILTER(입출고대장!$I:$I, (입출고대장!$D:$D=B306)*(입출고대장!$E:$E=C306)*(입출고대장!$F:$F=D306)*(입출고대장!$I:$I&lt;&gt;""), ""))))</f>
        <v/>
      </c>
    </row>
    <row r="307" spans="1:9" ht="17.25" x14ac:dyDescent="0.3">
      <c r="A307" s="20" t="str">
        <v>미국</v>
      </c>
      <c r="B307" s="21" t="str">
        <v>씨네퀴넌 750ml</v>
      </c>
      <c r="C307" s="21">
        <v>2010</v>
      </c>
      <c r="D307" s="21" t="str">
        <v>중앙랙(4번줄)</v>
      </c>
      <c r="E307" s="22">
        <v>4</v>
      </c>
      <c r="F307" s="22">
        <v>0</v>
      </c>
      <c r="G307" s="22">
        <v>4</v>
      </c>
      <c r="H307" s="21" t="str">
        <v>정상</v>
      </c>
      <c r="I307" s="23" t="str" cm="1">
        <f t="array" ref="I307">IF(B307="", "", _xlfn.TEXTJOIN(", ", TRUE, _xlfn.UNIQUE(_xlfn._xlws.FILTER(입출고대장!$I:$I, (입출고대장!$D:$D=B307)*(입출고대장!$E:$E=C307)*(입출고대장!$F:$F=D307)*(입출고대장!$I:$I&lt;&gt;""), ""))))</f>
        <v/>
      </c>
    </row>
    <row r="308" spans="1:9" ht="17.25" x14ac:dyDescent="0.3">
      <c r="A308" s="20" t="str">
        <v>미국</v>
      </c>
      <c r="B308" s="21" t="str">
        <v>씨네퀴넌 750ml</v>
      </c>
      <c r="C308" s="21">
        <v>2012</v>
      </c>
      <c r="D308" s="21" t="str">
        <v>중앙랙(4번줄)</v>
      </c>
      <c r="E308" s="22">
        <v>3</v>
      </c>
      <c r="F308" s="22">
        <v>0</v>
      </c>
      <c r="G308" s="22">
        <v>3</v>
      </c>
      <c r="H308" s="21" t="str">
        <v>정상</v>
      </c>
      <c r="I308" s="23" t="str" cm="1">
        <f t="array" ref="I308">IF(B308="", "", _xlfn.TEXTJOIN(", ", TRUE, _xlfn.UNIQUE(_xlfn._xlws.FILTER(입출고대장!$I:$I, (입출고대장!$D:$D=B308)*(입출고대장!$E:$E=C308)*(입출고대장!$F:$F=D308)*(입출고대장!$I:$I&lt;&gt;""), ""))))</f>
        <v/>
      </c>
    </row>
    <row r="309" spans="1:9" ht="17.25" x14ac:dyDescent="0.3">
      <c r="A309" s="20" t="str">
        <v>미국</v>
      </c>
      <c r="B309" s="21" t="str">
        <v>씨네퀴넌 750ml</v>
      </c>
      <c r="C309" s="21">
        <v>2013</v>
      </c>
      <c r="D309" s="21" t="str">
        <v>중앙랙(4번줄)</v>
      </c>
      <c r="E309" s="22">
        <v>2</v>
      </c>
      <c r="F309" s="22">
        <v>0</v>
      </c>
      <c r="G309" s="22">
        <v>2</v>
      </c>
      <c r="H309" s="21" t="str">
        <v>정상</v>
      </c>
      <c r="I309" s="23" t="str" cm="1">
        <f t="array" ref="I309">IF(B309="", "", _xlfn.TEXTJOIN(", ", TRUE, _xlfn.UNIQUE(_xlfn._xlws.FILTER(입출고대장!$I:$I, (입출고대장!$D:$D=B309)*(입출고대장!$E:$E=C309)*(입출고대장!$F:$F=D309)*(입출고대장!$I:$I&lt;&gt;""), ""))))</f>
        <v/>
      </c>
    </row>
    <row r="310" spans="1:9" ht="17.25" x14ac:dyDescent="0.3">
      <c r="A310" s="20" t="str">
        <v>미국</v>
      </c>
      <c r="B310" s="21" t="str">
        <v>씨네퀴넌 750ml</v>
      </c>
      <c r="C310" s="21">
        <v>2014</v>
      </c>
      <c r="D310" s="21" t="str">
        <v>중앙랙(4번줄)</v>
      </c>
      <c r="E310" s="22">
        <v>2</v>
      </c>
      <c r="F310" s="22">
        <v>0</v>
      </c>
      <c r="G310" s="22">
        <v>2</v>
      </c>
      <c r="H310" s="21" t="str">
        <v>정상</v>
      </c>
      <c r="I310" s="23" t="str" cm="1">
        <f t="array" ref="I310">IF(B310="", "", _xlfn.TEXTJOIN(", ", TRUE, _xlfn.UNIQUE(_xlfn._xlws.FILTER(입출고대장!$I:$I, (입출고대장!$D:$D=B310)*(입출고대장!$E:$E=C310)*(입출고대장!$F:$F=D310)*(입출고대장!$I:$I&lt;&gt;""), ""))))</f>
        <v/>
      </c>
    </row>
    <row r="311" spans="1:9" ht="17.25" x14ac:dyDescent="0.3">
      <c r="A311" s="20" t="str">
        <v>이탈리아</v>
      </c>
      <c r="B311" s="21" t="str">
        <v>마세토 750ml</v>
      </c>
      <c r="C311" s="21">
        <v>2007</v>
      </c>
      <c r="D311" s="21" t="str">
        <v>중앙랙(4번줄)</v>
      </c>
      <c r="E311" s="22">
        <v>2</v>
      </c>
      <c r="F311" s="22">
        <v>0</v>
      </c>
      <c r="G311" s="22">
        <v>2</v>
      </c>
      <c r="H311" s="21" t="str">
        <v>정상</v>
      </c>
      <c r="I311" s="23" t="str" cm="1">
        <f t="array" ref="I311">IF(B311="", "", _xlfn.TEXTJOIN(", ", TRUE, _xlfn.UNIQUE(_xlfn._xlws.FILTER(입출고대장!$I:$I, (입출고대장!$D:$D=B311)*(입출고대장!$E:$E=C311)*(입출고대장!$F:$F=D311)*(입출고대장!$I:$I&lt;&gt;""), ""))))</f>
        <v/>
      </c>
    </row>
    <row r="312" spans="1:9" ht="17.25" x14ac:dyDescent="0.3">
      <c r="A312" s="20" t="str">
        <v>이탈리아</v>
      </c>
      <c r="B312" s="21" t="str">
        <v>마세토 750ml</v>
      </c>
      <c r="C312" s="21">
        <v>2012</v>
      </c>
      <c r="D312" s="21" t="str">
        <v>중앙랙(4번줄)</v>
      </c>
      <c r="E312" s="22">
        <v>1</v>
      </c>
      <c r="F312" s="22">
        <v>0</v>
      </c>
      <c r="G312" s="22">
        <v>1</v>
      </c>
      <c r="H312" s="21" t="str">
        <v>정상</v>
      </c>
      <c r="I312" s="23" t="str" cm="1">
        <f t="array" ref="I312">IF(B312="", "", _xlfn.TEXTJOIN(", ", TRUE, _xlfn.UNIQUE(_xlfn._xlws.FILTER(입출고대장!$I:$I, (입출고대장!$D:$D=B312)*(입출고대장!$E:$E=C312)*(입출고대장!$F:$F=D312)*(입출고대장!$I:$I&lt;&gt;""), ""))))</f>
        <v/>
      </c>
    </row>
    <row r="313" spans="1:9" ht="17.25" x14ac:dyDescent="0.3">
      <c r="A313" s="20" t="str">
        <v>프랑스</v>
      </c>
      <c r="B313" s="21" t="str">
        <v>뀌베 마르게릿 1500ml</v>
      </c>
      <c r="C313" s="21">
        <v>2018</v>
      </c>
      <c r="D313" s="21" t="str">
        <v>중앙랙(4번줄)</v>
      </c>
      <c r="E313" s="22">
        <v>1</v>
      </c>
      <c r="F313" s="22">
        <v>0</v>
      </c>
      <c r="G313" s="22">
        <v>1</v>
      </c>
      <c r="H313" s="21" t="str">
        <v>정상</v>
      </c>
      <c r="I313" s="23" t="str" cm="1">
        <f t="array" ref="I313">IF(B313="", "", _xlfn.TEXTJOIN(", ", TRUE, _xlfn.UNIQUE(_xlfn._xlws.FILTER(입출고대장!$I:$I, (입출고대장!$D:$D=B313)*(입출고대장!$E:$E=C313)*(입출고대장!$F:$F=D313)*(입출고대장!$I:$I&lt;&gt;""), ""))))</f>
        <v>매그넘</v>
      </c>
    </row>
    <row r="314" spans="1:9" ht="17.25" x14ac:dyDescent="0.3">
      <c r="A314" s="20" t="str">
        <v>프랑스</v>
      </c>
      <c r="B314" s="21" t="str">
        <v>부샤 슈발리에 몽라쉐 1500ml</v>
      </c>
      <c r="C314" s="21">
        <v>2017</v>
      </c>
      <c r="D314" s="21" t="str">
        <v>중앙랙(4번줄)</v>
      </c>
      <c r="E314" s="22">
        <v>1</v>
      </c>
      <c r="F314" s="22">
        <v>0</v>
      </c>
      <c r="G314" s="22">
        <v>1</v>
      </c>
      <c r="H314" s="21" t="str">
        <v>정상</v>
      </c>
      <c r="I314" s="23" t="str" cm="1">
        <f t="array" ref="I314">IF(B314="", "", _xlfn.TEXTJOIN(", ", TRUE, _xlfn.UNIQUE(_xlfn._xlws.FILTER(입출고대장!$I:$I, (입출고대장!$D:$D=B314)*(입출고대장!$E:$E=C314)*(입출고대장!$F:$F=D314)*(입출고대장!$I:$I&lt;&gt;""), ""))))</f>
        <v>매그넘</v>
      </c>
    </row>
    <row r="315" spans="1:9" ht="17.25" x14ac:dyDescent="0.3">
      <c r="A315" s="20" t="str">
        <v>프랑스</v>
      </c>
      <c r="B315" s="21" t="str">
        <v>자쿠스 셀로스 로제 브뤼 750ml</v>
      </c>
      <c r="C315" s="21" t="str">
        <v>NV</v>
      </c>
      <c r="D315" s="21" t="str">
        <v>중앙랙(4번줄)</v>
      </c>
      <c r="E315" s="22">
        <v>2</v>
      </c>
      <c r="F315" s="22">
        <v>0</v>
      </c>
      <c r="G315" s="22">
        <v>2</v>
      </c>
      <c r="H315" s="21" t="str">
        <v>정상</v>
      </c>
      <c r="I315" s="23" t="str" cm="1">
        <f t="array" ref="I315">IF(B315="", "", _xlfn.TEXTJOIN(", ", TRUE, _xlfn.UNIQUE(_xlfn._xlws.FILTER(입출고대장!$I:$I, (입출고대장!$D:$D=B315)*(입출고대장!$E:$E=C315)*(입출고대장!$F:$F=D315)*(입출고대장!$I:$I&lt;&gt;""), ""))))</f>
        <v>샴페인</v>
      </c>
    </row>
    <row r="316" spans="1:9" ht="17.25" x14ac:dyDescent="0.3">
      <c r="A316" s="20" t="str">
        <v>프랑스</v>
      </c>
      <c r="B316" s="21" t="str">
        <v>페리에 주에 벨에포크 750ml</v>
      </c>
      <c r="C316" s="21">
        <v>2004</v>
      </c>
      <c r="D316" s="21" t="str">
        <v>중앙랙(4번줄)</v>
      </c>
      <c r="E316" s="22">
        <v>3</v>
      </c>
      <c r="F316" s="22">
        <v>0</v>
      </c>
      <c r="G316" s="22">
        <v>3</v>
      </c>
      <c r="H316" s="21" t="str">
        <v>정상</v>
      </c>
      <c r="I316" s="23" t="str" cm="1">
        <f t="array" ref="I316">IF(B316="", "", _xlfn.TEXTJOIN(", ", TRUE, _xlfn.UNIQUE(_xlfn._xlws.FILTER(입출고대장!$I:$I, (입출고대장!$D:$D=B316)*(입출고대장!$E:$E=C316)*(입출고대장!$F:$F=D316)*(입출고대장!$I:$I&lt;&gt;""), ""))))</f>
        <v>샴페인</v>
      </c>
    </row>
    <row r="317" spans="1:9" ht="17.25" x14ac:dyDescent="0.3">
      <c r="A317" s="20" t="str">
        <v>미국</v>
      </c>
      <c r="B317" s="21" t="str">
        <v>씨네퀴넌</v>
      </c>
      <c r="C317" s="21">
        <v>2002</v>
      </c>
      <c r="D317" s="21" t="str">
        <v>중앙랙(5번줄)</v>
      </c>
      <c r="E317" s="22">
        <v>1</v>
      </c>
      <c r="F317" s="22">
        <v>0</v>
      </c>
      <c r="G317" s="22">
        <v>1</v>
      </c>
      <c r="H317" s="21" t="str">
        <v>정상</v>
      </c>
      <c r="I317" s="23" t="str" cm="1">
        <f t="array" ref="I317">IF(B317="", "", _xlfn.TEXTJOIN(", ", TRUE, _xlfn.UNIQUE(_xlfn._xlws.FILTER(입출고대장!$I:$I, (입출고대장!$D:$D=B317)*(입출고대장!$E:$E=C317)*(입출고대장!$F:$F=D317)*(입출고대장!$I:$I&lt;&gt;""), ""))))</f>
        <v/>
      </c>
    </row>
    <row r="318" spans="1:9" ht="17.25" x14ac:dyDescent="0.3">
      <c r="A318" s="20" t="str">
        <v>미국</v>
      </c>
      <c r="B318" s="21" t="str">
        <v>씨네퀴넌</v>
      </c>
      <c r="C318" s="21">
        <v>2006</v>
      </c>
      <c r="D318" s="21" t="str">
        <v>중앙랙(5번줄)</v>
      </c>
      <c r="E318" s="22">
        <v>1</v>
      </c>
      <c r="F318" s="22">
        <v>0</v>
      </c>
      <c r="G318" s="22">
        <v>1</v>
      </c>
      <c r="H318" s="21" t="str">
        <v>정상</v>
      </c>
      <c r="I318" s="23" t="str" cm="1">
        <f t="array" ref="I318">IF(B318="", "", _xlfn.TEXTJOIN(", ", TRUE, _xlfn.UNIQUE(_xlfn._xlws.FILTER(입출고대장!$I:$I, (입출고대장!$D:$D=B318)*(입출고대장!$E:$E=C318)*(입출고대장!$F:$F=D318)*(입출고대장!$I:$I&lt;&gt;""), ""))))</f>
        <v/>
      </c>
    </row>
    <row r="319" spans="1:9" ht="17.25" x14ac:dyDescent="0.3">
      <c r="A319" s="20" t="str">
        <v>프랑스</v>
      </c>
      <c r="B319" s="21" t="str">
        <v>DRC 라 따쉬 그랑크루 750ml</v>
      </c>
      <c r="C319" s="21">
        <v>2002</v>
      </c>
      <c r="D319" s="21" t="str">
        <v>중앙랙(5번줄)</v>
      </c>
      <c r="E319" s="22">
        <v>1</v>
      </c>
      <c r="F319" s="22">
        <v>0</v>
      </c>
      <c r="G319" s="22">
        <v>1</v>
      </c>
      <c r="H319" s="21" t="str">
        <v>정상</v>
      </c>
      <c r="I319" s="23" t="str" cm="1">
        <f t="array" ref="I319">IF(B319="", "", _xlfn.TEXTJOIN(", ", TRUE, _xlfn.UNIQUE(_xlfn._xlws.FILTER(입출고대장!$I:$I, (입출고대장!$D:$D=B319)*(입출고대장!$E:$E=C319)*(입출고대장!$F:$F=D319)*(입출고대장!$I:$I&lt;&gt;""), ""))))</f>
        <v>DRC La Tache</v>
      </c>
    </row>
    <row r="320" spans="1:9" ht="17.25" x14ac:dyDescent="0.3">
      <c r="A320" s="20" t="str">
        <v>프랑스</v>
      </c>
      <c r="B320" s="21" t="str">
        <v>DRC 라 따쉬 그랑크루 750ml</v>
      </c>
      <c r="C320" s="21">
        <v>2004</v>
      </c>
      <c r="D320" s="21" t="str">
        <v>중앙랙(5번줄)</v>
      </c>
      <c r="E320" s="22">
        <v>1</v>
      </c>
      <c r="F320" s="22">
        <v>0</v>
      </c>
      <c r="G320" s="22">
        <v>1</v>
      </c>
      <c r="H320" s="21" t="str">
        <v>정상</v>
      </c>
      <c r="I320" s="23" t="str" cm="1">
        <f t="array" ref="I320">IF(B320="", "", _xlfn.TEXTJOIN(", ", TRUE, _xlfn.UNIQUE(_xlfn._xlws.FILTER(입출고대장!$I:$I, (입출고대장!$D:$D=B320)*(입출고대장!$E:$E=C320)*(입출고대장!$F:$F=D320)*(입출고대장!$I:$I&lt;&gt;""), ""))))</f>
        <v>DRC La Tache</v>
      </c>
    </row>
    <row r="321" spans="1:9" ht="17.25" x14ac:dyDescent="0.3">
      <c r="A321" s="20" t="str">
        <v>프랑스</v>
      </c>
      <c r="B321" s="21" t="str">
        <v>DRC 라 따쉬 그랑크루 750ml</v>
      </c>
      <c r="C321" s="21">
        <v>2006</v>
      </c>
      <c r="D321" s="21" t="str">
        <v>중앙랙(5번줄)</v>
      </c>
      <c r="E321" s="22">
        <v>2</v>
      </c>
      <c r="F321" s="22">
        <v>0</v>
      </c>
      <c r="G321" s="22">
        <v>2</v>
      </c>
      <c r="H321" s="21" t="str">
        <v>정상</v>
      </c>
      <c r="I321" s="23" t="str" cm="1">
        <f t="array" ref="I321">IF(B321="", "", _xlfn.TEXTJOIN(", ", TRUE, _xlfn.UNIQUE(_xlfn._xlws.FILTER(입출고대장!$I:$I, (입출고대장!$D:$D=B321)*(입출고대장!$E:$E=C321)*(입출고대장!$F:$F=D321)*(입출고대장!$I:$I&lt;&gt;""), ""))))</f>
        <v>DRC La Tache</v>
      </c>
    </row>
    <row r="322" spans="1:9" ht="17.25" x14ac:dyDescent="0.3">
      <c r="A322" s="20" t="str">
        <v>프랑스</v>
      </c>
      <c r="B322" s="21" t="str">
        <v>DRC 라 따쉬 그랑크루 750ml</v>
      </c>
      <c r="C322" s="21">
        <v>2011</v>
      </c>
      <c r="D322" s="21" t="str">
        <v>중앙랙(5번줄)</v>
      </c>
      <c r="E322" s="22">
        <v>1</v>
      </c>
      <c r="F322" s="22">
        <v>0</v>
      </c>
      <c r="G322" s="22">
        <v>1</v>
      </c>
      <c r="H322" s="21" t="str">
        <v>정상</v>
      </c>
      <c r="I322" s="23" t="str" cm="1">
        <f t="array" ref="I322">IF(B322="", "", _xlfn.TEXTJOIN(", ", TRUE, _xlfn.UNIQUE(_xlfn._xlws.FILTER(입출고대장!$I:$I, (입출고대장!$D:$D=B322)*(입출고대장!$E:$E=C322)*(입출고대장!$F:$F=D322)*(입출고대장!$I:$I&lt;&gt;""), ""))))</f>
        <v>DRC La Tache</v>
      </c>
    </row>
    <row r="323" spans="1:9" ht="17.25" x14ac:dyDescent="0.3">
      <c r="A323" s="20" t="str">
        <v>프랑스</v>
      </c>
      <c r="B323" s="21" t="str">
        <v>DRC 라 따쉬 그랑크루 750ml</v>
      </c>
      <c r="C323" s="21">
        <v>2012</v>
      </c>
      <c r="D323" s="21" t="str">
        <v>중앙랙(5번줄)</v>
      </c>
      <c r="E323" s="22">
        <v>2</v>
      </c>
      <c r="F323" s="22">
        <v>0</v>
      </c>
      <c r="G323" s="22">
        <v>2</v>
      </c>
      <c r="H323" s="21" t="str">
        <v>정상</v>
      </c>
      <c r="I323" s="23" t="str" cm="1">
        <f t="array" ref="I323">IF(B323="", "", _xlfn.TEXTJOIN(", ", TRUE, _xlfn.UNIQUE(_xlfn._xlws.FILTER(입출고대장!$I:$I, (입출고대장!$D:$D=B323)*(입출고대장!$E:$E=C323)*(입출고대장!$F:$F=D323)*(입출고대장!$I:$I&lt;&gt;""), ""))))</f>
        <v>DRC La Tache</v>
      </c>
    </row>
    <row r="324" spans="1:9" ht="17.25" x14ac:dyDescent="0.3">
      <c r="A324" s="20" t="str">
        <v>프랑스</v>
      </c>
      <c r="B324" s="21" t="str">
        <v>Francois d`Allaines, Chassagne-Montrachet 1er Cru `Les Chaumees`</v>
      </c>
      <c r="C324" s="21">
        <v>2020</v>
      </c>
      <c r="D324" s="21" t="str">
        <v>중앙랙(5번줄)</v>
      </c>
      <c r="E324" s="22">
        <v>6</v>
      </c>
      <c r="F324" s="22">
        <v>0</v>
      </c>
      <c r="G324" s="22">
        <v>6</v>
      </c>
      <c r="H324" s="21" t="str">
        <v>정상</v>
      </c>
      <c r="I324" s="23" t="str" cm="1">
        <f t="array" ref="I324">IF(B324="", "", _xlfn.TEXTJOIN(", ", TRUE, _xlfn.UNIQUE(_xlfn._xlws.FILTER(입출고대장!$I:$I, (입출고대장!$D:$D=B324)*(입출고대장!$E:$E=C324)*(입출고대장!$F:$F=D324)*(입출고대장!$I:$I&lt;&gt;""), ""))))</f>
        <v/>
      </c>
    </row>
    <row r="325" spans="1:9" ht="17.25" x14ac:dyDescent="0.3">
      <c r="A325" s="20" t="str">
        <v>프랑스</v>
      </c>
      <c r="B325" s="21" t="str">
        <v>메르뀌리 레 몽토 (RED)</v>
      </c>
      <c r="C325" s="21">
        <v>2019</v>
      </c>
      <c r="D325" s="21" t="str">
        <v>중앙랙(5번줄)</v>
      </c>
      <c r="E325" s="22">
        <v>4</v>
      </c>
      <c r="F325" s="22">
        <v>0</v>
      </c>
      <c r="G325" s="22">
        <v>4</v>
      </c>
      <c r="H325" s="21" t="str">
        <v>정상</v>
      </c>
      <c r="I325" s="23" t="str" cm="1">
        <f t="array" ref="I325">IF(B325="", "", _xlfn.TEXTJOIN(", ", TRUE, _xlfn.UNIQUE(_xlfn._xlws.FILTER(입출고대장!$I:$I, (입출고대장!$D:$D=B325)*(입출고대장!$E:$E=C325)*(입출고대장!$F:$F=D325)*(입출고대장!$I:$I&lt;&gt;""), ""))))</f>
        <v/>
      </c>
    </row>
    <row r="326" spans="1:9" ht="17.25" x14ac:dyDescent="0.3">
      <c r="A326" s="20" t="str">
        <v>프랑스</v>
      </c>
      <c r="B326" s="21" t="str">
        <v>샤또 라 라퀸느</v>
      </c>
      <c r="C326" s="21">
        <v>2005</v>
      </c>
      <c r="D326" s="21" t="str">
        <v>중앙랙(5번줄)</v>
      </c>
      <c r="E326" s="22">
        <v>11</v>
      </c>
      <c r="F326" s="22">
        <v>0</v>
      </c>
      <c r="G326" s="22">
        <v>11</v>
      </c>
      <c r="H326" s="21" t="str">
        <v>정상</v>
      </c>
      <c r="I326" s="23" t="str" cm="1">
        <f t="array" ref="I326">IF(B326="", "", _xlfn.TEXTJOIN(", ", TRUE, _xlfn.UNIQUE(_xlfn._xlws.FILTER(입출고대장!$I:$I, (입출고대장!$D:$D=B326)*(입출고대장!$E:$E=C326)*(입출고대장!$F:$F=D326)*(입출고대장!$I:$I&lt;&gt;""), ""))))</f>
        <v/>
      </c>
    </row>
    <row r="327" spans="1:9" ht="17.25" x14ac:dyDescent="0.3">
      <c r="A327" s="20" t="str">
        <v>프랑스</v>
      </c>
      <c r="B327" s="21" t="str">
        <v>에세조</v>
      </c>
      <c r="C327" s="21">
        <v>2006</v>
      </c>
      <c r="D327" s="21" t="str">
        <v>중앙랙(5번줄)</v>
      </c>
      <c r="E327" s="22">
        <v>1</v>
      </c>
      <c r="F327" s="22">
        <v>0</v>
      </c>
      <c r="G327" s="22">
        <v>1</v>
      </c>
      <c r="H327" s="21" t="str">
        <v>정상</v>
      </c>
      <c r="I327" s="23" t="str" cm="1">
        <f t="array" ref="I327">IF(B327="", "", _xlfn.TEXTJOIN(", ", TRUE, _xlfn.UNIQUE(_xlfn._xlws.FILTER(입출고대장!$I:$I, (입출고대장!$D:$D=B327)*(입출고대장!$E:$E=C327)*(입출고대장!$F:$F=D327)*(입출고대장!$I:$I&lt;&gt;""), ""))))</f>
        <v>Echezeaux</v>
      </c>
    </row>
    <row r="328" spans="1:9" ht="17.25" x14ac:dyDescent="0.3">
      <c r="A328" s="20" t="str">
        <v>프랑스</v>
      </c>
      <c r="B328" s="21" t="str">
        <v>자쿠스 셀로스 로제 브뤼 750ml</v>
      </c>
      <c r="C328" s="21" t="str">
        <v>NV</v>
      </c>
      <c r="D328" s="21" t="str">
        <v>중앙랙(5번줄)</v>
      </c>
      <c r="E328" s="22">
        <v>2</v>
      </c>
      <c r="F328" s="22">
        <v>0</v>
      </c>
      <c r="G328" s="22">
        <v>2</v>
      </c>
      <c r="H328" s="21" t="str">
        <v>정상</v>
      </c>
      <c r="I328" s="23" t="str" cm="1">
        <f t="array" ref="I328">IF(B328="", "", _xlfn.TEXTJOIN(", ", TRUE, _xlfn.UNIQUE(_xlfn._xlws.FILTER(입출고대장!$I:$I, (입출고대장!$D:$D=B328)*(입출고대장!$E:$E=C328)*(입출고대장!$F:$F=D328)*(입출고대장!$I:$I&lt;&gt;""), ""))))</f>
        <v>샴페인</v>
      </c>
    </row>
    <row r="329" spans="1:9" ht="17.25" x14ac:dyDescent="0.3">
      <c r="A329" s="20" t="str">
        <v>미국</v>
      </c>
      <c r="B329" s="21" t="str">
        <v>스크리밍 이글</v>
      </c>
      <c r="C329" s="21">
        <v>2009</v>
      </c>
      <c r="D329" s="21" t="str">
        <v>중앙랙(6번줄)</v>
      </c>
      <c r="E329" s="22">
        <v>7</v>
      </c>
      <c r="F329" s="22">
        <v>0</v>
      </c>
      <c r="G329" s="22">
        <v>7</v>
      </c>
      <c r="H329" s="21" t="str">
        <v>정상</v>
      </c>
      <c r="I329" s="23" t="str" cm="1">
        <f t="array" ref="I329">IF(B329="", "", _xlfn.TEXTJOIN(", ", TRUE, _xlfn.UNIQUE(_xlfn._xlws.FILTER(입출고대장!$I:$I, (입출고대장!$D:$D=B329)*(입출고대장!$E:$E=C329)*(입출고대장!$F:$F=D329)*(입출고대장!$I:$I&lt;&gt;""), ""))))</f>
        <v>Screaming Eagle</v>
      </c>
    </row>
    <row r="330" spans="1:9" ht="17.25" x14ac:dyDescent="0.3">
      <c r="A330" s="20" t="str">
        <v>미국</v>
      </c>
      <c r="B330" s="21" t="str">
        <v>스크리밍 이글</v>
      </c>
      <c r="C330" s="21">
        <v>2010</v>
      </c>
      <c r="D330" s="21" t="str">
        <v>중앙랙(6번줄)</v>
      </c>
      <c r="E330" s="22">
        <v>3</v>
      </c>
      <c r="F330" s="22">
        <v>0</v>
      </c>
      <c r="G330" s="22">
        <v>3</v>
      </c>
      <c r="H330" s="21" t="str">
        <v>정상</v>
      </c>
      <c r="I330" s="23" t="str" cm="1">
        <f t="array" ref="I330">IF(B330="", "", _xlfn.TEXTJOIN(", ", TRUE, _xlfn.UNIQUE(_xlfn._xlws.FILTER(입출고대장!$I:$I, (입출고대장!$D:$D=B330)*(입출고대장!$E:$E=C330)*(입출고대장!$F:$F=D330)*(입출고대장!$I:$I&lt;&gt;""), ""))))</f>
        <v>Screaming Eagle</v>
      </c>
    </row>
    <row r="331" spans="1:9" ht="17.25" x14ac:dyDescent="0.3">
      <c r="A331" s="20" t="str">
        <v>미국</v>
      </c>
      <c r="B331" s="21" t="str">
        <v>캡샌디 엔드레 750ml</v>
      </c>
      <c r="C331" s="21">
        <v>2009</v>
      </c>
      <c r="D331" s="21" t="str">
        <v>중앙랙(6번줄)</v>
      </c>
      <c r="E331" s="22">
        <v>2</v>
      </c>
      <c r="F331" s="22">
        <v>0</v>
      </c>
      <c r="G331" s="22">
        <v>2</v>
      </c>
      <c r="H331" s="21" t="str">
        <v>정상</v>
      </c>
      <c r="I331" s="23" t="str" cm="1">
        <f t="array" ref="I331">IF(B331="", "", _xlfn.TEXTJOIN(", ", TRUE, _xlfn.UNIQUE(_xlfn._xlws.FILTER(입출고대장!$I:$I, (입출고대장!$D:$D=B331)*(입출고대장!$E:$E=C331)*(입출고대장!$F:$F=D331)*(입출고대장!$I:$I&lt;&gt;""), ""))))</f>
        <v>Kapcsandy Endre</v>
      </c>
    </row>
    <row r="332" spans="1:9" ht="17.25" x14ac:dyDescent="0.3">
      <c r="A332" s="20" t="str">
        <v>이탈리아</v>
      </c>
      <c r="B332" s="21" t="str">
        <v>이 소디 산 니콜로750ml</v>
      </c>
      <c r="C332" s="21">
        <v>2017</v>
      </c>
      <c r="D332" s="21" t="str">
        <v>중앙랙(6번줄)</v>
      </c>
      <c r="E332" s="22">
        <v>1</v>
      </c>
      <c r="F332" s="22">
        <v>0</v>
      </c>
      <c r="G332" s="22">
        <v>1</v>
      </c>
      <c r="H332" s="21" t="str">
        <v>정상</v>
      </c>
      <c r="I332" s="23" t="str" cm="1">
        <f t="array" ref="I332">IF(B332="", "", _xlfn.TEXTJOIN(", ", TRUE, _xlfn.UNIQUE(_xlfn._xlws.FILTER(입출고대장!$I:$I, (입출고대장!$D:$D=B332)*(입출고대장!$E:$E=C332)*(입출고대장!$F:$F=D332)*(입출고대장!$I:$I&lt;&gt;""), ""))))</f>
        <v/>
      </c>
    </row>
    <row r="333" spans="1:9" ht="17.25" x14ac:dyDescent="0.3">
      <c r="A333" s="20" t="str">
        <v>프랑스</v>
      </c>
      <c r="B333" s="21" t="str">
        <v>로마네 생 비방 그랑 크뤼750ml</v>
      </c>
      <c r="C333" s="21">
        <v>2003</v>
      </c>
      <c r="D333" s="21" t="str">
        <v>중앙랙(6번줄)</v>
      </c>
      <c r="E333" s="22">
        <v>1</v>
      </c>
      <c r="F333" s="22">
        <v>0</v>
      </c>
      <c r="G333" s="22">
        <v>1</v>
      </c>
      <c r="H333" s="21" t="str">
        <v>정상</v>
      </c>
      <c r="I333" s="23" t="str" cm="1">
        <f t="array" ref="I333">IF(B333="", "", _xlfn.TEXTJOIN(", ", TRUE, _xlfn.UNIQUE(_xlfn._xlws.FILTER(입출고대장!$I:$I, (입출고대장!$D:$D=B333)*(입출고대장!$E:$E=C333)*(입출고대장!$F:$F=D333)*(입출고대장!$I:$I&lt;&gt;""), ""))))</f>
        <v>DRC Romanee St Vivant</v>
      </c>
    </row>
    <row r="334" spans="1:9" ht="17.25" x14ac:dyDescent="0.3">
      <c r="A334" s="20" t="str">
        <v>프랑스</v>
      </c>
      <c r="B334" s="21" t="str">
        <v>로마네 생 비방 그랑 크뤼750ml</v>
      </c>
      <c r="C334" s="21">
        <v>2006</v>
      </c>
      <c r="D334" s="21" t="str">
        <v>중앙랙(6번줄)</v>
      </c>
      <c r="E334" s="22">
        <v>2</v>
      </c>
      <c r="F334" s="22">
        <v>0</v>
      </c>
      <c r="G334" s="22">
        <v>2</v>
      </c>
      <c r="H334" s="21" t="str">
        <v>정상</v>
      </c>
      <c r="I334" s="23" t="str" cm="1">
        <f t="array" ref="I334">IF(B334="", "", _xlfn.TEXTJOIN(", ", TRUE, _xlfn.UNIQUE(_xlfn._xlws.FILTER(입출고대장!$I:$I, (입출고대장!$D:$D=B334)*(입출고대장!$E:$E=C334)*(입출고대장!$F:$F=D334)*(입출고대장!$I:$I&lt;&gt;""), ""))))</f>
        <v>DRC Romanee St Vivant</v>
      </c>
    </row>
    <row r="335" spans="1:9" ht="17.25" x14ac:dyDescent="0.3">
      <c r="A335" s="20" t="str">
        <v>프랑스</v>
      </c>
      <c r="B335" s="21" t="str">
        <v>로마네 생 비방 그랑 크뤼750ml</v>
      </c>
      <c r="C335" s="21">
        <v>2011</v>
      </c>
      <c r="D335" s="21" t="str">
        <v>중앙랙(6번줄)</v>
      </c>
      <c r="E335" s="22">
        <v>1</v>
      </c>
      <c r="F335" s="22">
        <v>0</v>
      </c>
      <c r="G335" s="22">
        <v>1</v>
      </c>
      <c r="H335" s="21" t="str">
        <v>정상</v>
      </c>
      <c r="I335" s="23"/>
    </row>
    <row r="336" spans="1:9" ht="17.25" x14ac:dyDescent="0.3">
      <c r="A336" s="20" t="str">
        <v>프랑스</v>
      </c>
      <c r="B336" s="21" t="str">
        <v>륄리 1등급 블랑 라끌루</v>
      </c>
      <c r="C336" s="21">
        <v>2018</v>
      </c>
      <c r="D336" s="21" t="str">
        <v>중앙랙(6번줄)</v>
      </c>
      <c r="E336" s="22">
        <v>4</v>
      </c>
      <c r="F336" s="22">
        <v>0</v>
      </c>
      <c r="G336" s="22">
        <v>4</v>
      </c>
      <c r="H336" s="21" t="str">
        <v>정상</v>
      </c>
      <c r="I336" s="23"/>
    </row>
    <row r="337" spans="1:9" x14ac:dyDescent="0.3">
      <c r="A337" s="24" t="str">
        <v>프랑스</v>
      </c>
      <c r="B337" s="25" t="str">
        <v>륄리 1등급 블랑 몽빨레</v>
      </c>
      <c r="C337" s="25">
        <v>2019</v>
      </c>
      <c r="D337" s="25" t="str">
        <v>중앙랙(6번줄)</v>
      </c>
      <c r="E337" s="26">
        <v>3</v>
      </c>
      <c r="F337" s="26">
        <v>0</v>
      </c>
      <c r="G337" s="26">
        <v>3</v>
      </c>
      <c r="H337" s="25" t="str">
        <v>정상</v>
      </c>
      <c r="I337" s="27"/>
    </row>
    <row r="338" spans="1:9" x14ac:dyDescent="0.3">
      <c r="A338" s="24" t="str">
        <v>프랑스</v>
      </c>
      <c r="B338" s="25" t="str">
        <v>리쉬부르</v>
      </c>
      <c r="C338" s="25">
        <v>2006</v>
      </c>
      <c r="D338" s="25" t="str">
        <v>중앙랙(6번줄)</v>
      </c>
      <c r="E338" s="26">
        <v>1</v>
      </c>
      <c r="F338" s="26">
        <v>0</v>
      </c>
      <c r="G338" s="26">
        <v>1</v>
      </c>
      <c r="H338" s="25" t="str">
        <v>정상</v>
      </c>
      <c r="I338" s="27"/>
    </row>
    <row r="339" spans="1:9" x14ac:dyDescent="0.3">
      <c r="A339" s="24" t="str">
        <v>프랑스</v>
      </c>
      <c r="B339" s="25" t="str">
        <v>보스네 로마네</v>
      </c>
      <c r="C339" s="25">
        <v>2012</v>
      </c>
      <c r="D339" s="25" t="str">
        <v>중앙랙(6번줄)</v>
      </c>
      <c r="E339" s="26">
        <v>2</v>
      </c>
      <c r="F339" s="26">
        <v>0</v>
      </c>
      <c r="G339" s="26">
        <v>2</v>
      </c>
      <c r="H339" s="25" t="str">
        <v>정상</v>
      </c>
      <c r="I339" s="27"/>
    </row>
    <row r="340" spans="1:9" x14ac:dyDescent="0.3">
      <c r="A340" s="24" t="str">
        <v>프랑스</v>
      </c>
      <c r="B340" s="25" t="str">
        <v>보스네 로마네</v>
      </c>
      <c r="C340" s="25">
        <v>2014</v>
      </c>
      <c r="D340" s="25" t="str">
        <v>중앙랙(6번줄)</v>
      </c>
      <c r="E340" s="26">
        <v>2</v>
      </c>
      <c r="F340" s="26">
        <v>0</v>
      </c>
      <c r="G340" s="26">
        <v>2</v>
      </c>
      <c r="H340" s="25" t="str">
        <v>정상</v>
      </c>
      <c r="I340" s="27"/>
    </row>
    <row r="341" spans="1:9" x14ac:dyDescent="0.3">
      <c r="A341" s="24" t="str">
        <v>프랑스</v>
      </c>
      <c r="B341" s="25" t="str">
        <v>보스네 로마네</v>
      </c>
      <c r="C341" s="25">
        <v>2016</v>
      </c>
      <c r="D341" s="25" t="str">
        <v>중앙랙(6번줄)</v>
      </c>
      <c r="E341" s="26">
        <v>1</v>
      </c>
      <c r="F341" s="26">
        <v>0</v>
      </c>
      <c r="G341" s="26">
        <v>1</v>
      </c>
      <c r="H341" s="25" t="str">
        <v>정상</v>
      </c>
      <c r="I341" s="27"/>
    </row>
    <row r="342" spans="1:9" x14ac:dyDescent="0.3">
      <c r="A342" s="24" t="str">
        <v>프랑스</v>
      </c>
      <c r="B342" s="25" t="str">
        <v>부르고뉴 레 끌루 에메</v>
      </c>
      <c r="C342" s="25">
        <v>2019</v>
      </c>
      <c r="D342" s="25" t="str">
        <v>중앙랙(6번줄)</v>
      </c>
      <c r="E342" s="26">
        <v>5</v>
      </c>
      <c r="F342" s="26">
        <v>0</v>
      </c>
      <c r="G342" s="26">
        <v>5</v>
      </c>
      <c r="H342" s="25" t="str">
        <v>정상</v>
      </c>
      <c r="I342" s="27"/>
    </row>
    <row r="343" spans="1:9" x14ac:dyDescent="0.3">
      <c r="A343" s="1" t="str">
        <v>프랑스</v>
      </c>
      <c r="B343" s="1" t="str">
        <v>부즈롱 알리고뗴</v>
      </c>
      <c r="C343" s="1">
        <v>2019</v>
      </c>
      <c r="D343" s="1" t="str">
        <v>중앙랙(6번줄)</v>
      </c>
      <c r="E343">
        <v>3</v>
      </c>
      <c r="F343">
        <v>0</v>
      </c>
      <c r="G343">
        <v>3</v>
      </c>
      <c r="H343" s="1" t="str">
        <v>정상</v>
      </c>
    </row>
    <row r="344" spans="1:9" x14ac:dyDescent="0.3">
      <c r="A344" s="1" t="str">
        <v>프랑스</v>
      </c>
      <c r="B344" s="1" t="str">
        <v>샤또 레글리즈 끌리네</v>
      </c>
      <c r="C344" s="1">
        <v>2003</v>
      </c>
      <c r="D344" s="1" t="str">
        <v>중앙랙(6번줄)</v>
      </c>
      <c r="E344">
        <v>12</v>
      </c>
      <c r="F344">
        <v>0</v>
      </c>
      <c r="G344">
        <v>12</v>
      </c>
      <c r="H344" s="1" t="str">
        <v>정상</v>
      </c>
    </row>
    <row r="345" spans="1:9" x14ac:dyDescent="0.3">
      <c r="A345" s="1" t="str">
        <v>프랑스</v>
      </c>
      <c r="B345" s="1" t="str">
        <v>샤또 슈발 블랑</v>
      </c>
      <c r="C345" s="1">
        <v>2000</v>
      </c>
      <c r="D345" s="1" t="str">
        <v>중앙랙(6번줄)</v>
      </c>
      <c r="E345">
        <v>1</v>
      </c>
      <c r="F345">
        <v>0</v>
      </c>
      <c r="G345">
        <v>1</v>
      </c>
      <c r="H345" s="1" t="str">
        <v>정상</v>
      </c>
    </row>
  </sheetData>
  <phoneticPr fontId="1" type="noConversion"/>
  <conditionalFormatting sqref="A3:I1000">
    <cfRule type="expression" dxfId="1" priority="2">
      <formula>AND($D3&lt;&gt;"", $D3&lt;&gt;$D2)</formula>
    </cfRule>
  </conditionalFormatting>
  <conditionalFormatting sqref="H1:H1048576">
    <cfRule type="cellIs" dxfId="0" priority="1" operator="equal">
      <formula>"재고없음"</formula>
    </cfRule>
  </conditionalFormatting>
  <dataValidations disablePrompts="1" count="2">
    <dataValidation type="list" allowBlank="1" showInputMessage="1" showErrorMessage="1" sqref="L1" xr:uid="{67C5B93D-FFC0-4096-9C1C-27AC1B7AEC50}">
      <formula1>_xlfn.ANCHORARRAY($AA$3)</formula1>
    </dataValidation>
    <dataValidation type="list" allowBlank="1" showInputMessage="1" showErrorMessage="1" sqref="P1" xr:uid="{52A4C03A-7EC2-44B5-AB46-192995C79A0C}">
      <formula1>_xlfn.ANCHORARRAY($K$3)</formula1>
    </dataValidation>
  </dataValidations>
  <pageMargins left="0.19685039370078741" right="0.19685039370078741" top="0.19685039370078741" bottom="0.19685039370078741" header="0.19685039370078741" footer="0.19685039370078741"/>
  <pageSetup paperSize="9" scale="8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입출고대장</vt:lpstr>
      <vt:lpstr>와인재고현황</vt:lpstr>
      <vt:lpstr>와인재고현황!Print_Area</vt:lpstr>
      <vt:lpstr>와인재고현황!Print_Titles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최준호</dc:creator>
  <cp:lastModifiedBy>최준호</cp:lastModifiedBy>
  <cp:lastPrinted>2026-09-01T08:52:41Z</cp:lastPrinted>
  <dcterms:created xsi:type="dcterms:W3CDTF">2026-09-01T04:43:04Z</dcterms:created>
  <dcterms:modified xsi:type="dcterms:W3CDTF">2026-09-01T08:53:01Z</dcterms:modified>
</cp:coreProperties>
</file>